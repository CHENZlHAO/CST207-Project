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040" firstSheet="2" activeTab="6"/>
  </bookViews>
  <sheets>
    <sheet name="Scenario_Summary" sheetId="1" r:id="rId1"/>
    <sheet name="Classification_Rules" sheetId="2" r:id="rId2"/>
    <sheet name="Task_List" sheetId="3" r:id="rId3"/>
    <sheet name="S1_LowPressure" sheetId="4" r:id="rId4"/>
    <sheet name="S2_HighPressure" sheetId="5" r:id="rId5"/>
    <sheet name="S3_DeadlineFocused" sheetId="6" r:id="rId6"/>
    <sheet name="S4_ImportanceFocus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<sst xmlns="http://schemas.openxmlformats.org/spreadsheetml/2006/main" count="472" uniqueCount="126">
  <si>
    <t>StudySmart AI - Scenario Summary</t>
  </si>
  <si>
    <t>Feature note: Importance Variation uses CV = STDEV.P(importance) / AVERAGE(importance).</t>
  </si>
  <si>
    <t>Scenario</t>
  </si>
  <si>
    <t>Available Time</t>
  </si>
  <si>
    <t>Total Required Time</t>
  </si>
  <si>
    <t>Time Pressure Ratio</t>
  </si>
  <si>
    <t>Deadline Tightness</t>
  </si>
  <si>
    <t>Importance Variation</t>
  </si>
  <si>
    <t>Average Difficulty</t>
  </si>
  <si>
    <t>Classified Type</t>
  </si>
  <si>
    <t>Scenario 1: Low-pressure / Balanced</t>
  </si>
  <si>
    <t>Scenario 2: High-pressure</t>
  </si>
  <si>
    <t>Scenario 3: Deadline-focused</t>
  </si>
  <si>
    <t>Scenario 4: Importance-focused</t>
  </si>
  <si>
    <t>Scenario Classification Rules</t>
  </si>
  <si>
    <t>Scenario Type</t>
  </si>
  <si>
    <t>Classification Criteria</t>
  </si>
  <si>
    <t>Threshold Reason</t>
  </si>
  <si>
    <t>High-pressure Scenario</t>
  </si>
  <si>
    <t>timePressureRatio &gt;= 2.00, OR timePressureRatio &gt;= 1.60 and averageDifficulty &gt;= 4.00</t>
  </si>
  <si>
    <t>2.00 means available time is half or less of total required time. 1.60 means available time is about 62.5% of the workload, and difficulty &gt;= 4.00 means tasks are generally difficult on a 1-5 scale.</t>
  </si>
  <si>
    <t>Deadline-focused Scenario</t>
  </si>
  <si>
    <t>deadlineTightness &gt;= 0.50 and timePressureRatio &lt; 2.00</t>
  </si>
  <si>
    <t>At least half of the tasks are urgent, so deadline becomes the main planning factor.</t>
  </si>
  <si>
    <t>Importance-focused Scenario</t>
  </si>
  <si>
    <t>importanceVariation &gt;= 0.30, deadlineTightness &lt; 0.50, and timePressureRatio &lt; 2.00</t>
  </si>
  <si>
    <t>Importance CV of 0.30 means the standard deviation is at least 30% of the average importance, showing clear variation in task value.</t>
  </si>
  <si>
    <t>Low-pressure / Balanced Scenario</t>
  </si>
  <si>
    <t>Otherwise, OR timePressureRatio &lt;= 1.30, deadlineTightness &lt; 0.50, and averageDifficulty &lt;= 3.50</t>
  </si>
  <si>
    <t>The scenario does not have strong time pressure, deadline pressure, or importance variation.</t>
  </si>
  <si>
    <t>Base Study-task List</t>
  </si>
  <si>
    <t>Task ID</t>
  </si>
  <si>
    <t>Task Name</t>
  </si>
  <si>
    <t>Course / Area</t>
  </si>
  <si>
    <t>Task Type</t>
  </si>
  <si>
    <t>Difficulty Level</t>
  </si>
  <si>
    <t>Importance Score</t>
  </si>
  <si>
    <t>T1</t>
  </si>
  <si>
    <t>Attend Divide-and-Conquer Lecture</t>
  </si>
  <si>
    <t>Design and Analysis of Algorithm</t>
  </si>
  <si>
    <t>Lecture</t>
  </si>
  <si>
    <t>Level</t>
  </si>
  <si>
    <t>Meaning</t>
  </si>
  <si>
    <t>Score</t>
  </si>
  <si>
    <t>T2</t>
  </si>
  <si>
    <t>Complete Greedy and DP Tutorial</t>
  </si>
  <si>
    <t>Tutorial</t>
  </si>
  <si>
    <t>Very easy</t>
  </si>
  <si>
    <t>1-2</t>
  </si>
  <si>
    <t>Very low importance; optional or small effect on academic performance.</t>
  </si>
  <si>
    <t>T3</t>
  </si>
  <si>
    <t>Practice Algorithm Midterm Questions</t>
  </si>
  <si>
    <t>Practice</t>
  </si>
  <si>
    <t>Easy</t>
  </si>
  <si>
    <t>3-4</t>
  </si>
  <si>
    <t>Low importance; useful but not strongly linked to major assessment.</t>
  </si>
  <si>
    <t>T4</t>
  </si>
  <si>
    <t>Finish StudySmart AI Algorithm Module</t>
  </si>
  <si>
    <t>Design and Analysis of Algorithm / C++</t>
  </si>
  <si>
    <t>Assignment</t>
  </si>
  <si>
    <t>Moderate</t>
  </si>
  <si>
    <t>5-6</t>
  </si>
  <si>
    <t>Moderate importance; supports learning or project progress.</t>
  </si>
  <si>
    <t>T5</t>
  </si>
  <si>
    <t>Review ERD and Normalization Concepts</t>
  </si>
  <si>
    <t>Database</t>
  </si>
  <si>
    <t>Revision</t>
  </si>
  <si>
    <t>Difficult</t>
  </si>
  <si>
    <t>7-8</t>
  </si>
  <si>
    <t>High importance; important for coursework, exams, coding, or project work.</t>
  </si>
  <si>
    <t>T6</t>
  </si>
  <si>
    <t>Complete SQL Access Control Lab</t>
  </si>
  <si>
    <t>Very difficult</t>
  </si>
  <si>
    <t>9-10</t>
  </si>
  <si>
    <t>Very high importance; strongly related to major assessment, FYP, midterm, or final project quality.</t>
  </si>
  <si>
    <t>T7</t>
  </si>
  <si>
    <t>Finish Database Project Report Section</t>
  </si>
  <si>
    <t>T8</t>
  </si>
  <si>
    <t>Attend Database Group Project Meeting</t>
  </si>
  <si>
    <t>T9</t>
  </si>
  <si>
    <t>Attend C++ File Handling Lecture</t>
  </si>
  <si>
    <t>C++ Programming</t>
  </si>
  <si>
    <t>T10</t>
  </si>
  <si>
    <t>Debug C++ Menu and Input Handling</t>
  </si>
  <si>
    <t>T11</t>
  </si>
  <si>
    <t>Complete C++ Pointer and Vector Exercises</t>
  </si>
  <si>
    <t>T12</t>
  </si>
  <si>
    <t>Revise Software Engineering Design Principles</t>
  </si>
  <si>
    <t>Software Engineering</t>
  </si>
  <si>
    <t>T13</t>
  </si>
  <si>
    <t>Practice Use Case and Class Diagram Questions</t>
  </si>
  <si>
    <t>T14</t>
  </si>
  <si>
    <t>Complete FYP Thesis Submission Draft</t>
  </si>
  <si>
    <t>FYP</t>
  </si>
  <si>
    <t>T15</t>
  </si>
  <si>
    <t>Prepare FYP Presentation and Supervisor Meeting</t>
  </si>
  <si>
    <t>Low time pressure, no urgent tasks, and manageable difficulty.</t>
  </si>
  <si>
    <t>Available Study Time</t>
  </si>
  <si>
    <t>Criterion</t>
  </si>
  <si>
    <t>Value</t>
  </si>
  <si>
    <t>Result</t>
  </si>
  <si>
    <t>Number of Tasks</t>
  </si>
  <si>
    <t>timePressureRatio &lt;= 1.30</t>
  </si>
  <si>
    <t>Total Required Study Time</t>
  </si>
  <si>
    <t>deadlineTightness &lt; 0.50</t>
  </si>
  <si>
    <t>Available Study Time (check)</t>
  </si>
  <si>
    <t>averageDifficulty &lt;= 3.50</t>
  </si>
  <si>
    <t>Average Importance</t>
  </si>
  <si>
    <t>Importance Std. Dev.</t>
  </si>
  <si>
    <t>Importance Variation (CV)</t>
  </si>
  <si>
    <t>Urgent Task Count (Deadline &lt;= 3)</t>
  </si>
  <si>
    <t>Study Time</t>
  </si>
  <si>
    <t>Importance</t>
  </si>
  <si>
    <t>Deadline</t>
  </si>
  <si>
    <t>Difficulty</t>
  </si>
  <si>
    <t>Urgent?</t>
  </si>
  <si>
    <t>Very high time pressure and high average difficulty.</t>
  </si>
  <si>
    <t>timePressureRatio &gt;= 2.00</t>
  </si>
  <si>
    <t>averageDifficulty &gt;= 4.00</t>
  </si>
  <si>
    <t>deadlineTightness</t>
  </si>
  <si>
    <t>Most tasks are due within three days, so urgency dominates.</t>
  </si>
  <si>
    <t>deadlineTightness &gt;= 0.50</t>
  </si>
  <si>
    <t>timePressureRatio &lt; 2.00</t>
  </si>
  <si>
    <t>importanceVariation</t>
  </si>
  <si>
    <t>Importance scores vary a lot, while deadlines are not urgent.</t>
  </si>
  <si>
    <t>importanceVariation &gt;= 0.30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</si>
</sst>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1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4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vertical="center" wrapText="1"/>
    </xf>
    <xf numFmtId="1" fontId="0" fillId="5" borderId="0" xfId="49" applyNumberFormat="1" applyFont="1" applyFill="1" applyBorder="1" applyAlignment="1">
      <alignment vertical="center" wrapText="1"/>
    </xf>
    <xf numFmtId="0" fontId="4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2" fontId="0" fillId="5" borderId="0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center" wrapText="1"/>
    </xf>
    <xf numFmtId="0" fontId="4" fillId="2" borderId="0" xfId="49" applyNumberFormat="1" applyFont="1" applyFill="1" applyBorder="1" applyAlignment="1">
      <alignment horizontal="center" vertical="center"/>
    </xf>
    <xf numFmtId="0" fontId="3" fillId="6" borderId="0" xfId="49" applyNumberFormat="1" applyFont="1" applyFill="1" applyBorder="1" applyAlignment="1">
      <alignment horizontal="center" vertical="center"/>
    </xf>
    <xf numFmtId="0" fontId="2" fillId="7" borderId="0" xfId="49" applyNumberFormat="1" applyFont="1" applyFill="1" applyBorder="1" applyAlignment="1">
      <alignment vertical="center" wrapText="1"/>
    </xf>
    <xf numFmtId="1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"Time Pressure Ratio"</c:f>
              <c:strCache>
                <c:ptCount val="1"/>
                <c:pt idx="0">
                  <c:v>Time Pressure Ratio</c:v>
                </c:pt>
              </c:strCache>
            </c:strRef>
          </c:tx>
          <c:invertIfNegative val="0"/>
          <c:dLbls>
            <c:delete val="1"/>
          </c:dLbls>
          <c:cat>
            <c:strRef>
              <c:f>Scenario_Summary!$A$6:$A$9</c:f>
              <c:strCache>
                <c:ptCount val="4"/>
                <c:pt idx="0">
                  <c:v>Scenario 1: Low-pressure / Balanced</c:v>
                </c:pt>
                <c:pt idx="1">
                  <c:v>Scenario 2: High-pressure</c:v>
                </c:pt>
                <c:pt idx="2">
                  <c:v>Scenario 3: Deadline-focused</c:v>
                </c:pt>
                <c:pt idx="3">
                  <c:v>Scenario 4: Importance-focused</c:v>
                </c:pt>
              </c:strCache>
            </c:strRef>
          </c:cat>
          <c:val>
            <c:numRef>
              <c:f>Scenario_Summary!$D$6:$D$9</c:f>
              <c:numCache>
                <c:formatCode>0.00</c:formatCode>
                <c:ptCount val="4"/>
                <c:pt idx="0">
                  <c:v>1.14285714285714</c:v>
                </c:pt>
                <c:pt idx="1">
                  <c:v>2.40909090909091</c:v>
                </c:pt>
                <c:pt idx="2">
                  <c:v>1.70833333333333</c:v>
                </c:pt>
                <c:pt idx="3">
                  <c:v>1.57692307692308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615a85-9a3d-407f-b057-7107023608e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5803880" y="259080"/>
        <a:ext cx="6217920" cy="3639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cenarioSummaryTable" displayName="ScenarioSummaryTable" ref="A5:H9">
  <tableColumns count="8">
    <tableColumn id="1" name="Scenario"/>
    <tableColumn id="2" name="Available Time"/>
    <tableColumn id="3" name="Total Required Time"/>
    <tableColumn id="4" name="Time Pressure Ratio"/>
    <tableColumn id="5" name="Deadline Tightness"/>
    <tableColumn id="6" name="Importance Variation"/>
    <tableColumn id="7" name="Average Difficulty"/>
    <tableColumn id="8" name="Classified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ssificationRulesTable" displayName="ClassificationRulesTable" ref="A3:C7">
  <tableColumns count="3">
    <tableColumn id="1" name="Scenario Type"/>
    <tableColumn id="2" name="Classification Criteria"/>
    <tableColumn id="3" name="Threshold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seTaskTable" displayName="BaseTaskTable" ref="A3:D18">
  <tableColumns count="4">
    <tableColumn id="1" name="Task ID"/>
    <tableColumn id="2" name="Task Name"/>
    <tableColumn id="3" name="Course / Area"/>
    <tableColumn id="4" name="Task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1_LowPressureTable" displayName="S1_LowPressureTable" ref="A17:I32">
  <tableColumns count="9">
    <tableColumn id="1" name="Task ID"/>
    <tableColumn id="2" name="Task Name"/>
    <tableColumn id="3" name="Course / Area"/>
    <tableColumn id="4" name="Task Type"/>
    <tableColumn id="5" name="Study Time"/>
    <tableColumn id="6" name="Importance"/>
    <tableColumn id="7" name="Deadline"/>
    <tableColumn id="8" name="Difficulty"/>
    <tableColumn id="9" name="Urgent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2_HighPressureTable" displayName="S2_HighPressureTable" ref="A17:I32">
  <tableColumns count="9">
    <tableColumn id="1" name="Task ID"/>
    <tableColumn id="2" name="Task Name"/>
    <tableColumn id="3" name="Course / Area"/>
    <tableColumn id="4" name="Task Type"/>
    <tableColumn id="5" name="Study Time"/>
    <tableColumn id="6" name="Importance"/>
    <tableColumn id="7" name="Deadline"/>
    <tableColumn id="8" name="Difficulty"/>
    <tableColumn id="9" name="Urgent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3_DeadlineFocusedTable" displayName="S3_DeadlineFocusedTable" ref="A17:I32">
  <tableColumns count="9">
    <tableColumn id="1" name="Task ID"/>
    <tableColumn id="2" name="Task Name"/>
    <tableColumn id="3" name="Course / Area"/>
    <tableColumn id="4" name="Task Type"/>
    <tableColumn id="5" name="Study Time"/>
    <tableColumn id="6" name="Importance"/>
    <tableColumn id="7" name="Deadline"/>
    <tableColumn id="8" name="Difficulty"/>
    <tableColumn id="9" name="Urgent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4_ImportanceFocusedTable" displayName="S4_ImportanceFocusedTable" ref="A17:I32">
  <tableColumns count="9">
    <tableColumn id="1" name="Task ID"/>
    <tableColumn id="2" name="Task Name"/>
    <tableColumn id="3" name="Course / Area"/>
    <tableColumn id="4" name="Task Type"/>
    <tableColumn id="5" name="Study Time"/>
    <tableColumn id="6" name="Importance"/>
    <tableColumn id="7" name="Deadline"/>
    <tableColumn id="8" name="Difficulty"/>
    <tableColumn id="9" name="Urgent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B36" sqref="B36"/>
    </sheetView>
  </sheetViews>
  <sheetFormatPr defaultColWidth="9" defaultRowHeight="16.8" outlineLevelCol="7"/>
  <cols>
    <col min="1" max="1" width="34" customWidth="1"/>
    <col min="2" max="2" width="16" customWidth="1"/>
    <col min="3" max="4" width="20" customWidth="1"/>
    <col min="5" max="5" width="18" customWidth="1"/>
    <col min="6" max="6" width="20" customWidth="1"/>
    <col min="7" max="7" width="18" customWidth="1"/>
    <col min="8" max="8" width="28" customWidth="1"/>
  </cols>
  <sheetData>
    <row r="1" ht="20.4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13" t="s">
        <v>1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ht="17" spans="1:8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ht="17" spans="1:8">
      <c r="A6" s="7" t="s">
        <v>10</v>
      </c>
      <c r="B6" s="14">
        <f>S1_LowPressure!B3</f>
        <v>28</v>
      </c>
      <c r="C6" s="14">
        <f>S1_LowPressure!B5</f>
        <v>32</v>
      </c>
      <c r="D6" s="8">
        <f>S1_LowPressure!B7</f>
        <v>1.14285714285714</v>
      </c>
      <c r="E6" s="8">
        <f>S1_LowPressure!B12</f>
        <v>0</v>
      </c>
      <c r="F6" s="8">
        <f>S1_LowPressure!B10</f>
        <v>0.117311125957229</v>
      </c>
      <c r="G6" s="8">
        <f>S1_LowPressure!B13</f>
        <v>2.8</v>
      </c>
      <c r="H6" s="7" t="str">
        <f>S1_LowPressure!B14</f>
        <v>Low-pressure / Balanced</v>
      </c>
    </row>
    <row r="7" ht="17" spans="1:8">
      <c r="A7" s="7" t="s">
        <v>11</v>
      </c>
      <c r="B7" s="14">
        <f>S2_HighPressure!B3</f>
        <v>22</v>
      </c>
      <c r="C7" s="14">
        <f>S2_HighPressure!B5</f>
        <v>53</v>
      </c>
      <c r="D7" s="8">
        <f>S2_HighPressure!B7</f>
        <v>2.40909090909091</v>
      </c>
      <c r="E7" s="8">
        <f>S2_HighPressure!B12</f>
        <v>0.0666666666666667</v>
      </c>
      <c r="F7" s="8">
        <f>S2_HighPressure!B10</f>
        <v>0.120761472884912</v>
      </c>
      <c r="G7" s="8">
        <f>S2_HighPressure!B13</f>
        <v>4.26666666666667</v>
      </c>
      <c r="H7" s="7" t="str">
        <f>S2_HighPressure!B14</f>
        <v>High-pressure</v>
      </c>
    </row>
    <row r="8" ht="17" spans="1:8">
      <c r="A8" s="7" t="s">
        <v>12</v>
      </c>
      <c r="B8" s="14">
        <f>S3_DeadlineFocused!B3</f>
        <v>24</v>
      </c>
      <c r="C8" s="14">
        <f>S3_DeadlineFocused!B5</f>
        <v>41</v>
      </c>
      <c r="D8" s="8">
        <f>S3_DeadlineFocused!B7</f>
        <v>1.70833333333333</v>
      </c>
      <c r="E8" s="8">
        <f>S3_DeadlineFocused!B12</f>
        <v>0.733333333333333</v>
      </c>
      <c r="F8" s="8">
        <f>S3_DeadlineFocused!B10</f>
        <v>0.116642368703961</v>
      </c>
      <c r="G8" s="8">
        <f>S3_DeadlineFocused!B13</f>
        <v>3.2</v>
      </c>
      <c r="H8" s="7" t="str">
        <f>S3_DeadlineFocused!B14</f>
        <v>Deadline-focused</v>
      </c>
    </row>
    <row r="9" ht="17" spans="1:8">
      <c r="A9" s="7" t="s">
        <v>13</v>
      </c>
      <c r="B9" s="14">
        <f>S4_ImportanceFocused!B3</f>
        <v>26</v>
      </c>
      <c r="C9" s="14">
        <f>S4_ImportanceFocused!B5</f>
        <v>41</v>
      </c>
      <c r="D9" s="8">
        <f>S4_ImportanceFocused!B7</f>
        <v>1.57692307692308</v>
      </c>
      <c r="E9" s="8">
        <f>S4_ImportanceFocused!B12</f>
        <v>0</v>
      </c>
      <c r="F9" s="8">
        <f>S4_ImportanceFocused!B10</f>
        <v>0.399072999912622</v>
      </c>
      <c r="G9" s="8">
        <f>S4_ImportanceFocused!B13</f>
        <v>3.26666666666667</v>
      </c>
      <c r="H9" s="7" t="str">
        <f>S4_ImportanceFocused!B14</f>
        <v>Importance-focused</v>
      </c>
    </row>
  </sheetData>
  <mergeCells count="2">
    <mergeCell ref="A1:H1"/>
    <mergeCell ref="A3:H3"/>
  </mergeCells>
  <conditionalFormatting sqref="D6:G9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{c17083e9-d2b1-4889-8c94-1058649d79d1}</x14:id>
        </ext>
      </extLst>
    </cfRule>
  </conditionalFormatting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7083e9-d2b1-4889-8c94-1058649d79d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D6:G9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:C1"/>
    </sheetView>
  </sheetViews>
  <sheetFormatPr defaultColWidth="9" defaultRowHeight="16.8" outlineLevelRow="6" outlineLevelCol="2"/>
  <cols>
    <col min="1" max="1" width="28" customWidth="1"/>
    <col min="2" max="2" width="48" customWidth="1"/>
    <col min="3" max="3" width="70" customWidth="1"/>
  </cols>
  <sheetData>
    <row r="1" ht="20.4" spans="1:3">
      <c r="A1" s="1" t="s">
        <v>14</v>
      </c>
      <c r="B1" s="2"/>
      <c r="C1" s="2"/>
    </row>
    <row r="2" spans="1:3">
      <c r="A2" s="2"/>
      <c r="B2" s="2"/>
      <c r="C2" s="2"/>
    </row>
    <row r="3" ht="17" spans="1:3">
      <c r="A3" s="6" t="s">
        <v>15</v>
      </c>
      <c r="B3" s="6" t="s">
        <v>16</v>
      </c>
      <c r="C3" s="6" t="s">
        <v>17</v>
      </c>
    </row>
    <row r="4" ht="51" spans="1:3">
      <c r="A4" s="7" t="s">
        <v>18</v>
      </c>
      <c r="B4" s="7" t="s">
        <v>19</v>
      </c>
      <c r="C4" s="7" t="s">
        <v>20</v>
      </c>
    </row>
    <row r="5" ht="17" spans="1:3">
      <c r="A5" s="7" t="s">
        <v>21</v>
      </c>
      <c r="B5" s="7" t="s">
        <v>22</v>
      </c>
      <c r="C5" s="7" t="s">
        <v>23</v>
      </c>
    </row>
    <row r="6" ht="34" spans="1:3">
      <c r="A6" s="7" t="s">
        <v>24</v>
      </c>
      <c r="B6" s="7" t="s">
        <v>25</v>
      </c>
      <c r="C6" s="7" t="s">
        <v>26</v>
      </c>
    </row>
    <row r="7" ht="34" spans="1:3">
      <c r="A7" s="7" t="s">
        <v>27</v>
      </c>
      <c r="B7" s="7" t="s">
        <v>28</v>
      </c>
      <c r="C7" s="7" t="s">
        <v>29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1" sqref="A1:D1"/>
    </sheetView>
  </sheetViews>
  <sheetFormatPr defaultColWidth="9" defaultRowHeight="16.8"/>
  <cols>
    <col min="1" max="1" width="10" customWidth="1"/>
    <col min="2" max="2" width="38" customWidth="1"/>
    <col min="3" max="3" width="32" customWidth="1"/>
    <col min="4" max="4" width="14" customWidth="1"/>
    <col min="6" max="6" width="10" customWidth="1"/>
    <col min="7" max="7" width="18" customWidth="1"/>
    <col min="9" max="9" width="12" customWidth="1"/>
    <col min="10" max="10" width="60" customWidth="1"/>
  </cols>
  <sheetData>
    <row r="1" ht="20.4" spans="1:10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11" t="s">
        <v>31</v>
      </c>
      <c r="B3" s="11" t="s">
        <v>32</v>
      </c>
      <c r="C3" s="11" t="s">
        <v>33</v>
      </c>
      <c r="D3" s="11" t="s">
        <v>34</v>
      </c>
      <c r="E3" s="2"/>
      <c r="F3" s="11" t="s">
        <v>35</v>
      </c>
      <c r="G3" s="2"/>
      <c r="H3" s="2"/>
      <c r="I3" s="11" t="s">
        <v>36</v>
      </c>
      <c r="J3" s="2"/>
    </row>
    <row r="4" spans="1:10">
      <c r="A4" s="2" t="s">
        <v>37</v>
      </c>
      <c r="B4" s="2" t="s">
        <v>38</v>
      </c>
      <c r="C4" s="2" t="s">
        <v>39</v>
      </c>
      <c r="D4" s="2" t="s">
        <v>40</v>
      </c>
      <c r="E4" s="2"/>
      <c r="F4" s="12" t="s">
        <v>41</v>
      </c>
      <c r="G4" s="12" t="s">
        <v>42</v>
      </c>
      <c r="H4" s="2"/>
      <c r="I4" s="12" t="s">
        <v>43</v>
      </c>
      <c r="J4" s="12" t="s">
        <v>42</v>
      </c>
    </row>
    <row r="5" ht="17" spans="1:10">
      <c r="A5" s="2" t="s">
        <v>44</v>
      </c>
      <c r="B5" s="2" t="s">
        <v>45</v>
      </c>
      <c r="C5" s="2" t="s">
        <v>39</v>
      </c>
      <c r="D5" s="2" t="s">
        <v>46</v>
      </c>
      <c r="E5" s="2"/>
      <c r="F5" s="2">
        <v>1</v>
      </c>
      <c r="G5" s="2" t="s">
        <v>47</v>
      </c>
      <c r="H5" s="2"/>
      <c r="I5" s="7" t="s">
        <v>48</v>
      </c>
      <c r="J5" s="7" t="s">
        <v>49</v>
      </c>
    </row>
    <row r="6" ht="17" spans="1:10">
      <c r="A6" s="2" t="s">
        <v>50</v>
      </c>
      <c r="B6" s="2" t="s">
        <v>51</v>
      </c>
      <c r="C6" s="2" t="s">
        <v>39</v>
      </c>
      <c r="D6" s="2" t="s">
        <v>52</v>
      </c>
      <c r="E6" s="2"/>
      <c r="F6" s="2">
        <v>2</v>
      </c>
      <c r="G6" s="2" t="s">
        <v>53</v>
      </c>
      <c r="H6" s="2"/>
      <c r="I6" s="7" t="s">
        <v>54</v>
      </c>
      <c r="J6" s="7" t="s">
        <v>55</v>
      </c>
    </row>
    <row r="7" ht="17" spans="1:10">
      <c r="A7" s="2" t="s">
        <v>56</v>
      </c>
      <c r="B7" s="2" t="s">
        <v>57</v>
      </c>
      <c r="C7" s="2" t="s">
        <v>58</v>
      </c>
      <c r="D7" s="2" t="s">
        <v>59</v>
      </c>
      <c r="E7" s="2"/>
      <c r="F7" s="2">
        <v>3</v>
      </c>
      <c r="G7" s="2" t="s">
        <v>60</v>
      </c>
      <c r="H7" s="2"/>
      <c r="I7" s="7" t="s">
        <v>61</v>
      </c>
      <c r="J7" s="7" t="s">
        <v>62</v>
      </c>
    </row>
    <row r="8" ht="17" spans="1:10">
      <c r="A8" s="2" t="s">
        <v>63</v>
      </c>
      <c r="B8" s="2" t="s">
        <v>64</v>
      </c>
      <c r="C8" s="2" t="s">
        <v>65</v>
      </c>
      <c r="D8" s="2" t="s">
        <v>66</v>
      </c>
      <c r="E8" s="2"/>
      <c r="F8" s="2">
        <v>4</v>
      </c>
      <c r="G8" s="2" t="s">
        <v>67</v>
      </c>
      <c r="H8" s="2"/>
      <c r="I8" s="7" t="s">
        <v>68</v>
      </c>
      <c r="J8" s="7" t="s">
        <v>69</v>
      </c>
    </row>
    <row r="9" ht="34" spans="1:10">
      <c r="A9" s="2" t="s">
        <v>70</v>
      </c>
      <c r="B9" s="2" t="s">
        <v>71</v>
      </c>
      <c r="C9" s="2" t="s">
        <v>65</v>
      </c>
      <c r="D9" s="2" t="s">
        <v>52</v>
      </c>
      <c r="E9" s="2"/>
      <c r="F9" s="2">
        <v>5</v>
      </c>
      <c r="G9" s="2" t="s">
        <v>72</v>
      </c>
      <c r="H9" s="2"/>
      <c r="I9" s="7" t="s">
        <v>73</v>
      </c>
      <c r="J9" s="7" t="s">
        <v>74</v>
      </c>
    </row>
    <row r="10" spans="1:10">
      <c r="A10" s="2" t="s">
        <v>75</v>
      </c>
      <c r="B10" s="2" t="s">
        <v>76</v>
      </c>
      <c r="C10" s="2" t="s">
        <v>65</v>
      </c>
      <c r="D10" s="2" t="s">
        <v>59</v>
      </c>
      <c r="E10" s="2"/>
      <c r="F10" s="2"/>
      <c r="G10" s="2"/>
      <c r="H10" s="2"/>
      <c r="I10" s="2"/>
      <c r="J10" s="2"/>
    </row>
    <row r="11" spans="1:10">
      <c r="A11" s="2" t="s">
        <v>77</v>
      </c>
      <c r="B11" s="2" t="s">
        <v>78</v>
      </c>
      <c r="C11" s="2" t="s">
        <v>65</v>
      </c>
      <c r="D11" s="2" t="s">
        <v>59</v>
      </c>
      <c r="E11" s="2"/>
      <c r="F11" s="2"/>
      <c r="G11" s="2"/>
      <c r="H11" s="2"/>
      <c r="I11" s="2"/>
      <c r="J11" s="2"/>
    </row>
    <row r="12" spans="1:10">
      <c r="A12" s="2" t="s">
        <v>79</v>
      </c>
      <c r="B12" s="2" t="s">
        <v>80</v>
      </c>
      <c r="C12" s="2" t="s">
        <v>81</v>
      </c>
      <c r="D12" s="2" t="s">
        <v>40</v>
      </c>
      <c r="E12" s="2"/>
      <c r="F12" s="2"/>
      <c r="G12" s="2"/>
      <c r="H12" s="2"/>
      <c r="I12" s="2"/>
      <c r="J12" s="2"/>
    </row>
    <row r="13" spans="1:10">
      <c r="A13" s="2" t="s">
        <v>82</v>
      </c>
      <c r="B13" s="2" t="s">
        <v>83</v>
      </c>
      <c r="C13" s="2" t="s">
        <v>81</v>
      </c>
      <c r="D13" s="2" t="s">
        <v>52</v>
      </c>
      <c r="E13" s="2"/>
      <c r="F13" s="2"/>
      <c r="G13" s="2"/>
      <c r="H13" s="2"/>
      <c r="I13" s="2"/>
      <c r="J13" s="2"/>
    </row>
    <row r="14" spans="1:10">
      <c r="A14" s="2" t="s">
        <v>84</v>
      </c>
      <c r="B14" s="2" t="s">
        <v>85</v>
      </c>
      <c r="C14" s="2" t="s">
        <v>81</v>
      </c>
      <c r="D14" s="2" t="s">
        <v>46</v>
      </c>
      <c r="E14" s="2"/>
      <c r="F14" s="2"/>
      <c r="G14" s="2"/>
      <c r="H14" s="2"/>
      <c r="I14" s="2"/>
      <c r="J14" s="2"/>
    </row>
    <row r="15" spans="1:10">
      <c r="A15" s="2" t="s">
        <v>86</v>
      </c>
      <c r="B15" s="2" t="s">
        <v>87</v>
      </c>
      <c r="C15" s="2" t="s">
        <v>88</v>
      </c>
      <c r="D15" s="2" t="s">
        <v>66</v>
      </c>
      <c r="E15" s="2"/>
      <c r="F15" s="2"/>
      <c r="G15" s="2"/>
      <c r="H15" s="2"/>
      <c r="I15" s="2"/>
      <c r="J15" s="2"/>
    </row>
    <row r="16" spans="1:10">
      <c r="A16" s="2" t="s">
        <v>89</v>
      </c>
      <c r="B16" s="2" t="s">
        <v>90</v>
      </c>
      <c r="C16" s="2" t="s">
        <v>88</v>
      </c>
      <c r="D16" s="2" t="s">
        <v>52</v>
      </c>
      <c r="E16" s="2"/>
      <c r="F16" s="2"/>
      <c r="G16" s="2"/>
      <c r="H16" s="2"/>
      <c r="I16" s="2"/>
      <c r="J16" s="2"/>
    </row>
    <row r="17" spans="1:10">
      <c r="A17" s="2" t="s">
        <v>91</v>
      </c>
      <c r="B17" s="2" t="s">
        <v>92</v>
      </c>
      <c r="C17" s="2" t="s">
        <v>93</v>
      </c>
      <c r="D17" s="2" t="s">
        <v>59</v>
      </c>
      <c r="E17" s="2"/>
      <c r="F17" s="2"/>
      <c r="G17" s="2"/>
      <c r="H17" s="2"/>
      <c r="I17" s="2"/>
      <c r="J17" s="2"/>
    </row>
    <row r="18" spans="1:10">
      <c r="A18" s="2" t="s">
        <v>94</v>
      </c>
      <c r="B18" s="2" t="s">
        <v>95</v>
      </c>
      <c r="C18" s="2" t="s">
        <v>93</v>
      </c>
      <c r="D18" s="2" t="s">
        <v>59</v>
      </c>
      <c r="E18" s="2"/>
      <c r="F18" s="2"/>
      <c r="G18" s="2"/>
      <c r="H18" s="2"/>
      <c r="I18" s="2"/>
      <c r="J18" s="2"/>
    </row>
  </sheetData>
  <mergeCells count="3">
    <mergeCell ref="A1:D1"/>
    <mergeCell ref="F3:G3"/>
    <mergeCell ref="I3:J3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77" zoomScaleNormal="77" topLeftCell="A9" workbookViewId="0">
      <selection activeCell="A15" sqref="$A15:$XFD15"/>
    </sheetView>
  </sheetViews>
  <sheetFormatPr defaultColWidth="9" defaultRowHeight="16.8"/>
  <cols>
    <col min="1" max="1" width="10" customWidth="1"/>
    <col min="2" max="2" width="34" customWidth="1"/>
    <col min="3" max="3" width="32" customWidth="1"/>
    <col min="4" max="4" width="14" customWidth="1"/>
    <col min="5" max="8" width="12" customWidth="1"/>
    <col min="9" max="9" width="10" customWidth="1"/>
    <col min="11" max="11" width="32" customWidth="1"/>
    <col min="12" max="12" width="10" customWidth="1"/>
    <col min="13" max="13" width="18" customWidth="1"/>
  </cols>
  <sheetData>
    <row r="1" ht="20.4" spans="1:13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4" spans="1:13">
      <c r="A3" s="4" t="s">
        <v>97</v>
      </c>
      <c r="B3" s="5">
        <v>28</v>
      </c>
      <c r="C3" s="2"/>
      <c r="D3" s="2"/>
      <c r="E3" s="2"/>
      <c r="F3" s="2"/>
      <c r="G3" s="2"/>
      <c r="H3" s="2"/>
      <c r="I3" s="2"/>
      <c r="J3" s="2"/>
      <c r="K3" s="6" t="s">
        <v>98</v>
      </c>
      <c r="L3" s="6" t="s">
        <v>99</v>
      </c>
      <c r="M3" s="6" t="s">
        <v>100</v>
      </c>
    </row>
    <row r="4" ht="34" spans="1:13">
      <c r="A4" s="4" t="s">
        <v>101</v>
      </c>
      <c r="B4" s="5">
        <f>COUNTA(A18:A32)</f>
        <v>15</v>
      </c>
      <c r="C4" s="2"/>
      <c r="D4" s="2"/>
      <c r="E4" s="2"/>
      <c r="F4" s="2"/>
      <c r="G4" s="2"/>
      <c r="H4" s="2"/>
      <c r="I4" s="2"/>
      <c r="J4" s="2"/>
      <c r="K4" s="7" t="s">
        <v>102</v>
      </c>
      <c r="L4" s="8">
        <f>B7</f>
        <v>1.14285714285714</v>
      </c>
      <c r="M4" s="7" t="str">
        <f>IF(B7&lt;=1.3,"Satisfied","Not satisfied")</f>
        <v>Satisfied</v>
      </c>
    </row>
    <row r="5" ht="51" spans="1:13">
      <c r="A5" s="4" t="s">
        <v>103</v>
      </c>
      <c r="B5" s="5">
        <f>SUM(E18:E32)</f>
        <v>32</v>
      </c>
      <c r="C5" s="2"/>
      <c r="D5" s="2"/>
      <c r="E5" s="2"/>
      <c r="F5" s="2"/>
      <c r="G5" s="2"/>
      <c r="H5" s="2"/>
      <c r="I5" s="2"/>
      <c r="J5" s="2"/>
      <c r="K5" s="7" t="s">
        <v>104</v>
      </c>
      <c r="L5" s="8">
        <f>B12</f>
        <v>0</v>
      </c>
      <c r="M5" s="7" t="str">
        <f>IF(B12&lt;0.5,"Satisfied","Not satisfied")</f>
        <v>Satisfied</v>
      </c>
    </row>
    <row r="6" ht="51" spans="1:13">
      <c r="A6" s="4" t="s">
        <v>105</v>
      </c>
      <c r="B6" s="5">
        <f>B3</f>
        <v>28</v>
      </c>
      <c r="C6" s="2"/>
      <c r="D6" s="2"/>
      <c r="E6" s="2"/>
      <c r="F6" s="2"/>
      <c r="G6" s="2"/>
      <c r="H6" s="2"/>
      <c r="I6" s="2"/>
      <c r="J6" s="2"/>
      <c r="K6" s="7" t="s">
        <v>106</v>
      </c>
      <c r="L6" s="8">
        <f>B13</f>
        <v>2.8</v>
      </c>
      <c r="M6" s="7" t="str">
        <f>IF(B13&lt;=3.5,"Satisfied","Not satisfied")</f>
        <v>Satisfied</v>
      </c>
    </row>
    <row r="7" ht="51" spans="1:13">
      <c r="A7" s="4" t="s">
        <v>5</v>
      </c>
      <c r="B7" s="9">
        <f>B5/B6</f>
        <v>1.14285714285714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34" spans="1:13">
      <c r="A8" s="4" t="s">
        <v>107</v>
      </c>
      <c r="B8" s="9">
        <f>AVERAGE(F18:F32)</f>
        <v>6.86666666666667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34" spans="1:13">
      <c r="A9" s="4" t="s">
        <v>108</v>
      </c>
      <c r="B9" s="9">
        <f>_xlfn.STDEV.P(F18:F32)</f>
        <v>0.805536398239638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51" spans="1:13">
      <c r="A10" s="4" t="s">
        <v>109</v>
      </c>
      <c r="B10" s="9">
        <f>IFERROR(B9/B8,0)</f>
        <v>0.117311125957229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68" spans="1:13">
      <c r="A11" s="4" t="s">
        <v>110</v>
      </c>
      <c r="B11" s="9">
        <f>COUNTIF(G18:G32,"&lt;=3")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34" spans="1:13">
      <c r="A12" s="4" t="s">
        <v>6</v>
      </c>
      <c r="B12" s="9">
        <f>B11/B4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34" spans="1:13">
      <c r="A13" s="4" t="s">
        <v>8</v>
      </c>
      <c r="B13" s="9">
        <f>AVERAGE(H18:H32)</f>
        <v>2.8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34" spans="1:13">
      <c r="A14" s="4" t="s">
        <v>15</v>
      </c>
      <c r="B14" s="10" t="str">
        <f>IF(OR(B7&gt;=2,AND(B7&gt;=1.6,B13&gt;=4)),"High-pressure",IF(AND(B12&gt;=0.5,B7&lt;2),"Deadline-focused",IF(AND(B10&gt;=0.3,B12&lt;0.5,B7&lt;2),"Importance-focused","Low-pressure / Balanced")))</f>
        <v>Low-pressure / Balanced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4"/>
      <c r="B15" s="1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7" spans="1:13">
      <c r="A17" s="6" t="s">
        <v>31</v>
      </c>
      <c r="B17" s="6" t="s">
        <v>32</v>
      </c>
      <c r="C17" s="6" t="s">
        <v>33</v>
      </c>
      <c r="D17" s="6" t="s">
        <v>34</v>
      </c>
      <c r="E17" s="6" t="s">
        <v>111</v>
      </c>
      <c r="F17" s="6" t="s">
        <v>112</v>
      </c>
      <c r="G17" s="6" t="s">
        <v>113</v>
      </c>
      <c r="H17" s="6" t="s">
        <v>114</v>
      </c>
      <c r="I17" s="6" t="s">
        <v>115</v>
      </c>
      <c r="J17" s="2"/>
      <c r="K17" s="2"/>
      <c r="L17" s="2"/>
      <c r="M17" s="2"/>
    </row>
    <row r="18" spans="1:13">
      <c r="A18" s="2" t="s">
        <v>37</v>
      </c>
      <c r="B18" s="2" t="s">
        <v>38</v>
      </c>
      <c r="C18" s="2" t="s">
        <v>39</v>
      </c>
      <c r="D18" s="2" t="s">
        <v>40</v>
      </c>
      <c r="E18" s="2">
        <v>2</v>
      </c>
      <c r="F18" s="2">
        <v>7</v>
      </c>
      <c r="G18" s="2">
        <v>7</v>
      </c>
      <c r="H18" s="2">
        <v>3</v>
      </c>
      <c r="I18" s="2" t="str">
        <f t="shared" ref="I18:I32" si="0">IF(G18&lt;=3,"Yes","No")</f>
        <v>No</v>
      </c>
      <c r="J18" s="2"/>
      <c r="K18" s="2"/>
      <c r="L18" s="2"/>
      <c r="M18" s="2"/>
    </row>
    <row r="19" spans="1:13">
      <c r="A19" s="2" t="s">
        <v>44</v>
      </c>
      <c r="B19" s="2" t="s">
        <v>45</v>
      </c>
      <c r="C19" s="2" t="s">
        <v>39</v>
      </c>
      <c r="D19" s="2" t="s">
        <v>46</v>
      </c>
      <c r="E19" s="2">
        <v>2</v>
      </c>
      <c r="F19" s="2">
        <v>7</v>
      </c>
      <c r="G19" s="2">
        <v>6</v>
      </c>
      <c r="H19" s="2">
        <v>3</v>
      </c>
      <c r="I19" s="2" t="str">
        <f t="shared" si="0"/>
        <v>No</v>
      </c>
      <c r="J19" s="2"/>
      <c r="K19" s="2"/>
      <c r="L19" s="2"/>
      <c r="M19" s="2"/>
    </row>
    <row r="20" spans="1:13">
      <c r="A20" s="2" t="s">
        <v>50</v>
      </c>
      <c r="B20" s="2" t="s">
        <v>51</v>
      </c>
      <c r="C20" s="2" t="s">
        <v>39</v>
      </c>
      <c r="D20" s="2" t="s">
        <v>52</v>
      </c>
      <c r="E20" s="2">
        <v>2</v>
      </c>
      <c r="F20" s="2">
        <v>8</v>
      </c>
      <c r="G20" s="2">
        <v>8</v>
      </c>
      <c r="H20" s="2">
        <v>3</v>
      </c>
      <c r="I20" s="2" t="str">
        <f t="shared" si="0"/>
        <v>No</v>
      </c>
      <c r="J20" s="2"/>
      <c r="K20" s="2"/>
      <c r="L20" s="2"/>
      <c r="M20" s="2"/>
    </row>
    <row r="21" spans="1:13">
      <c r="A21" s="2" t="s">
        <v>56</v>
      </c>
      <c r="B21" s="2" t="s">
        <v>57</v>
      </c>
      <c r="C21" s="2" t="s">
        <v>58</v>
      </c>
      <c r="D21" s="2" t="s">
        <v>59</v>
      </c>
      <c r="E21" s="2">
        <v>3</v>
      </c>
      <c r="F21" s="2">
        <v>8</v>
      </c>
      <c r="G21" s="2">
        <v>9</v>
      </c>
      <c r="H21" s="2">
        <v>3</v>
      </c>
      <c r="I21" s="2" t="str">
        <f t="shared" si="0"/>
        <v>No</v>
      </c>
      <c r="J21" s="2"/>
      <c r="K21" s="2"/>
      <c r="L21" s="2"/>
      <c r="M21" s="2"/>
    </row>
    <row r="22" spans="1:13">
      <c r="A22" s="2" t="s">
        <v>63</v>
      </c>
      <c r="B22" s="2" t="s">
        <v>64</v>
      </c>
      <c r="C22" s="2" t="s">
        <v>65</v>
      </c>
      <c r="D22" s="2" t="s">
        <v>66</v>
      </c>
      <c r="E22" s="2">
        <v>2</v>
      </c>
      <c r="F22" s="2">
        <v>7</v>
      </c>
      <c r="G22" s="2">
        <v>7</v>
      </c>
      <c r="H22" s="2">
        <v>3</v>
      </c>
      <c r="I22" s="2" t="str">
        <f t="shared" si="0"/>
        <v>No</v>
      </c>
      <c r="J22" s="2"/>
      <c r="K22" s="2"/>
      <c r="L22" s="2"/>
      <c r="M22" s="2"/>
    </row>
    <row r="23" spans="1:13">
      <c r="A23" s="2" t="s">
        <v>70</v>
      </c>
      <c r="B23" s="2" t="s">
        <v>71</v>
      </c>
      <c r="C23" s="2" t="s">
        <v>65</v>
      </c>
      <c r="D23" s="2" t="s">
        <v>52</v>
      </c>
      <c r="E23" s="2">
        <v>2</v>
      </c>
      <c r="F23" s="2">
        <v>6</v>
      </c>
      <c r="G23" s="2">
        <v>6</v>
      </c>
      <c r="H23" s="2">
        <v>2</v>
      </c>
      <c r="I23" s="2" t="str">
        <f t="shared" si="0"/>
        <v>No</v>
      </c>
      <c r="J23" s="2"/>
      <c r="K23" s="2"/>
      <c r="L23" s="2"/>
      <c r="M23" s="2"/>
    </row>
    <row r="24" spans="1:13">
      <c r="A24" s="2" t="s">
        <v>75</v>
      </c>
      <c r="B24" s="2" t="s">
        <v>76</v>
      </c>
      <c r="C24" s="2" t="s">
        <v>65</v>
      </c>
      <c r="D24" s="2" t="s">
        <v>59</v>
      </c>
      <c r="E24" s="2">
        <v>3</v>
      </c>
      <c r="F24" s="2">
        <v>7</v>
      </c>
      <c r="G24" s="2">
        <v>8</v>
      </c>
      <c r="H24" s="2">
        <v>3</v>
      </c>
      <c r="I24" s="2" t="str">
        <f t="shared" si="0"/>
        <v>No</v>
      </c>
      <c r="J24" s="2"/>
      <c r="K24" s="2"/>
      <c r="L24" s="2"/>
      <c r="M24" s="2"/>
    </row>
    <row r="25" spans="1:13">
      <c r="A25" s="2" t="s">
        <v>77</v>
      </c>
      <c r="B25" s="2" t="s">
        <v>78</v>
      </c>
      <c r="C25" s="2" t="s">
        <v>65</v>
      </c>
      <c r="D25" s="2" t="s">
        <v>59</v>
      </c>
      <c r="E25" s="2">
        <v>1</v>
      </c>
      <c r="F25" s="2">
        <v>5</v>
      </c>
      <c r="G25" s="2">
        <v>5</v>
      </c>
      <c r="H25" s="2">
        <v>2</v>
      </c>
      <c r="I25" s="2" t="str">
        <f t="shared" si="0"/>
        <v>No</v>
      </c>
      <c r="J25" s="2"/>
      <c r="K25" s="2"/>
      <c r="L25" s="2"/>
      <c r="M25" s="2"/>
    </row>
    <row r="26" spans="1:13">
      <c r="A26" s="2" t="s">
        <v>79</v>
      </c>
      <c r="B26" s="2" t="s">
        <v>80</v>
      </c>
      <c r="C26" s="2" t="s">
        <v>81</v>
      </c>
      <c r="D26" s="2" t="s">
        <v>40</v>
      </c>
      <c r="E26" s="2">
        <v>2</v>
      </c>
      <c r="F26" s="2">
        <v>6</v>
      </c>
      <c r="G26" s="2">
        <v>8</v>
      </c>
      <c r="H26" s="2">
        <v>2</v>
      </c>
      <c r="I26" s="2" t="str">
        <f t="shared" si="0"/>
        <v>No</v>
      </c>
      <c r="J26" s="2"/>
      <c r="K26" s="2"/>
      <c r="L26" s="2"/>
      <c r="M26" s="2"/>
    </row>
    <row r="27" spans="1:13">
      <c r="A27" s="2" t="s">
        <v>82</v>
      </c>
      <c r="B27" s="2" t="s">
        <v>83</v>
      </c>
      <c r="C27" s="2" t="s">
        <v>81</v>
      </c>
      <c r="D27" s="2" t="s">
        <v>52</v>
      </c>
      <c r="E27" s="2">
        <v>2</v>
      </c>
      <c r="F27" s="2">
        <v>7</v>
      </c>
      <c r="G27" s="2">
        <v>7</v>
      </c>
      <c r="H27" s="2">
        <v>3</v>
      </c>
      <c r="I27" s="2" t="str">
        <f t="shared" si="0"/>
        <v>No</v>
      </c>
      <c r="J27" s="2"/>
      <c r="K27" s="2"/>
      <c r="L27" s="2"/>
      <c r="M27" s="2"/>
    </row>
    <row r="28" spans="1:13">
      <c r="A28" s="2" t="s">
        <v>84</v>
      </c>
      <c r="B28" s="2" t="s">
        <v>85</v>
      </c>
      <c r="C28" s="2" t="s">
        <v>81</v>
      </c>
      <c r="D28" s="2" t="s">
        <v>46</v>
      </c>
      <c r="E28" s="2">
        <v>2</v>
      </c>
      <c r="F28" s="2">
        <v>6</v>
      </c>
      <c r="G28" s="2">
        <v>6</v>
      </c>
      <c r="H28" s="2">
        <v>3</v>
      </c>
      <c r="I28" s="2" t="str">
        <f t="shared" si="0"/>
        <v>No</v>
      </c>
      <c r="J28" s="2"/>
      <c r="K28" s="2"/>
      <c r="L28" s="2"/>
      <c r="M28" s="2"/>
    </row>
    <row r="29" spans="1:13">
      <c r="A29" s="2" t="s">
        <v>86</v>
      </c>
      <c r="B29" s="2" t="s">
        <v>87</v>
      </c>
      <c r="C29" s="2" t="s">
        <v>88</v>
      </c>
      <c r="D29" s="2" t="s">
        <v>66</v>
      </c>
      <c r="E29" s="2">
        <v>2</v>
      </c>
      <c r="F29" s="2">
        <v>7</v>
      </c>
      <c r="G29" s="2">
        <v>9</v>
      </c>
      <c r="H29" s="2">
        <v>3</v>
      </c>
      <c r="I29" s="2" t="str">
        <f t="shared" si="0"/>
        <v>No</v>
      </c>
      <c r="J29" s="2"/>
      <c r="K29" s="2"/>
      <c r="L29" s="2"/>
      <c r="M29" s="2"/>
    </row>
    <row r="30" spans="1:13">
      <c r="A30" s="2" t="s">
        <v>89</v>
      </c>
      <c r="B30" s="2" t="s">
        <v>90</v>
      </c>
      <c r="C30" s="2" t="s">
        <v>88</v>
      </c>
      <c r="D30" s="2" t="s">
        <v>52</v>
      </c>
      <c r="E30" s="2">
        <v>2</v>
      </c>
      <c r="F30" s="2">
        <v>7</v>
      </c>
      <c r="G30" s="2">
        <v>8</v>
      </c>
      <c r="H30" s="2">
        <v>3</v>
      </c>
      <c r="I30" s="2" t="str">
        <f t="shared" si="0"/>
        <v>No</v>
      </c>
      <c r="J30" s="2"/>
      <c r="K30" s="2"/>
      <c r="L30" s="2"/>
      <c r="M30" s="2"/>
    </row>
    <row r="31" spans="1:13">
      <c r="A31" s="2" t="s">
        <v>91</v>
      </c>
      <c r="B31" s="2" t="s">
        <v>92</v>
      </c>
      <c r="C31" s="2" t="s">
        <v>93</v>
      </c>
      <c r="D31" s="2" t="s">
        <v>59</v>
      </c>
      <c r="E31" s="2">
        <v>3</v>
      </c>
      <c r="F31" s="2">
        <v>8</v>
      </c>
      <c r="G31" s="2">
        <v>10</v>
      </c>
      <c r="H31" s="2">
        <v>3</v>
      </c>
      <c r="I31" s="2" t="str">
        <f t="shared" si="0"/>
        <v>No</v>
      </c>
      <c r="J31" s="2"/>
      <c r="K31" s="2"/>
      <c r="L31" s="2"/>
      <c r="M31" s="2"/>
    </row>
    <row r="32" spans="1:13">
      <c r="A32" s="2" t="s">
        <v>94</v>
      </c>
      <c r="B32" s="2" t="s">
        <v>95</v>
      </c>
      <c r="C32" s="2" t="s">
        <v>93</v>
      </c>
      <c r="D32" s="2" t="s">
        <v>59</v>
      </c>
      <c r="E32" s="2">
        <v>2</v>
      </c>
      <c r="F32" s="2">
        <v>7</v>
      </c>
      <c r="G32" s="2">
        <v>9</v>
      </c>
      <c r="H32" s="2">
        <v>3</v>
      </c>
      <c r="I32" s="2" t="str">
        <f t="shared" si="0"/>
        <v>No</v>
      </c>
      <c r="J32" s="2"/>
      <c r="K32" s="2"/>
      <c r="L32" s="2"/>
      <c r="M32" s="2"/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84" zoomScaleNormal="84" topLeftCell="A11" workbookViewId="0">
      <selection activeCell="A15" sqref="$A15:$XFD15"/>
    </sheetView>
  </sheetViews>
  <sheetFormatPr defaultColWidth="9" defaultRowHeight="16.8"/>
  <cols>
    <col min="1" max="1" width="10" customWidth="1"/>
    <col min="2" max="2" width="34" customWidth="1"/>
    <col min="3" max="3" width="32" customWidth="1"/>
    <col min="4" max="4" width="14" customWidth="1"/>
    <col min="5" max="8" width="12" customWidth="1"/>
    <col min="9" max="9" width="10" customWidth="1"/>
    <col min="11" max="11" width="32" customWidth="1"/>
    <col min="12" max="12" width="10" customWidth="1"/>
    <col min="13" max="13" width="18" customWidth="1"/>
  </cols>
  <sheetData>
    <row r="1" ht="20.4" spans="1:13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4" spans="1:13">
      <c r="A3" s="4" t="s">
        <v>97</v>
      </c>
      <c r="B3" s="5">
        <v>22</v>
      </c>
      <c r="C3" s="2"/>
      <c r="D3" s="2"/>
      <c r="E3" s="2"/>
      <c r="F3" s="2"/>
      <c r="G3" s="2"/>
      <c r="H3" s="2"/>
      <c r="I3" s="2"/>
      <c r="J3" s="2"/>
      <c r="K3" s="6" t="s">
        <v>98</v>
      </c>
      <c r="L3" s="6" t="s">
        <v>99</v>
      </c>
      <c r="M3" s="6" t="s">
        <v>100</v>
      </c>
    </row>
    <row r="4" ht="34" spans="1:13">
      <c r="A4" s="4" t="s">
        <v>101</v>
      </c>
      <c r="B4" s="5">
        <f>COUNTA(A18:A32)</f>
        <v>15</v>
      </c>
      <c r="C4" s="2"/>
      <c r="D4" s="2"/>
      <c r="E4" s="2"/>
      <c r="F4" s="2"/>
      <c r="G4" s="2"/>
      <c r="H4" s="2"/>
      <c r="I4" s="2"/>
      <c r="J4" s="2"/>
      <c r="K4" s="7" t="s">
        <v>117</v>
      </c>
      <c r="L4" s="8">
        <f>B7</f>
        <v>2.40909090909091</v>
      </c>
      <c r="M4" s="7" t="str">
        <f>IF(B7&gt;=2,"Satisfied","Not satisfied")</f>
        <v>Satisfied</v>
      </c>
    </row>
    <row r="5" ht="51" spans="1:13">
      <c r="A5" s="4" t="s">
        <v>103</v>
      </c>
      <c r="B5" s="5">
        <f>SUM(E18:E32)</f>
        <v>53</v>
      </c>
      <c r="C5" s="2"/>
      <c r="D5" s="2"/>
      <c r="E5" s="2"/>
      <c r="F5" s="2"/>
      <c r="G5" s="2"/>
      <c r="H5" s="2"/>
      <c r="I5" s="2"/>
      <c r="J5" s="2"/>
      <c r="K5" s="7" t="s">
        <v>118</v>
      </c>
      <c r="L5" s="8">
        <f>B13</f>
        <v>4.26666666666667</v>
      </c>
      <c r="M5" s="7" t="str">
        <f>IF(B13&gt;=4,"Also high","Not high")</f>
        <v>Also high</v>
      </c>
    </row>
    <row r="6" ht="51" spans="1:13">
      <c r="A6" s="4" t="s">
        <v>105</v>
      </c>
      <c r="B6" s="5">
        <f>B3</f>
        <v>22</v>
      </c>
      <c r="C6" s="2"/>
      <c r="D6" s="2"/>
      <c r="E6" s="2"/>
      <c r="F6" s="2"/>
      <c r="G6" s="2"/>
      <c r="H6" s="2"/>
      <c r="I6" s="2"/>
      <c r="J6" s="2"/>
      <c r="K6" s="7" t="s">
        <v>119</v>
      </c>
      <c r="L6" s="8">
        <f>B12</f>
        <v>0.0666666666666667</v>
      </c>
      <c r="M6" s="7" t="str">
        <f>IF(B12&lt;0.5,"Not deadline-focused","Deadline pressure exists")</f>
        <v>Not deadline-focused</v>
      </c>
    </row>
    <row r="7" ht="51" spans="1:13">
      <c r="A7" s="4" t="s">
        <v>5</v>
      </c>
      <c r="B7" s="9">
        <f>B5/B6</f>
        <v>2.40909090909091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34" spans="1:13">
      <c r="A8" s="4" t="s">
        <v>107</v>
      </c>
      <c r="B8" s="9">
        <f>AVERAGE(F18:F32)</f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34" spans="1:13">
      <c r="A9" s="4" t="s">
        <v>108</v>
      </c>
      <c r="B9" s="9">
        <f>_xlfn.STDEV.P(F18:F32)</f>
        <v>0.966091783079296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51" spans="1:13">
      <c r="A10" s="4" t="s">
        <v>109</v>
      </c>
      <c r="B10" s="9">
        <f>IFERROR(B9/B8,0)</f>
        <v>0.120761472884912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68" spans="1:13">
      <c r="A11" s="4" t="s">
        <v>110</v>
      </c>
      <c r="B11" s="9">
        <f>COUNTIF(G18:G32,"&lt;=3")</f>
        <v>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34" spans="1:13">
      <c r="A12" s="4" t="s">
        <v>6</v>
      </c>
      <c r="B12" s="9">
        <f>B11/B4</f>
        <v>0.0666666666666667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34" spans="1:13">
      <c r="A13" s="4" t="s">
        <v>8</v>
      </c>
      <c r="B13" s="9">
        <f>AVERAGE(H18:H32)</f>
        <v>4.26666666666667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34" spans="1:13">
      <c r="A14" s="4" t="s">
        <v>15</v>
      </c>
      <c r="B14" s="10" t="str">
        <f>IF(OR(B7&gt;=2,AND(B7&gt;=1.6,B13&gt;=4)),"High-pressure",IF(AND(B12&gt;=0.5,B7&lt;2),"Deadline-focused",IF(AND(B10&gt;=0.3,B12&lt;0.5,B7&lt;2),"Importance-focused","Low-pressure / Balanced")))</f>
        <v>High-pressure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4"/>
      <c r="B15" s="1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7" spans="1:13">
      <c r="A17" s="6" t="s">
        <v>31</v>
      </c>
      <c r="B17" s="6" t="s">
        <v>32</v>
      </c>
      <c r="C17" s="6" t="s">
        <v>33</v>
      </c>
      <c r="D17" s="6" t="s">
        <v>34</v>
      </c>
      <c r="E17" s="6" t="s">
        <v>111</v>
      </c>
      <c r="F17" s="6" t="s">
        <v>112</v>
      </c>
      <c r="G17" s="6" t="s">
        <v>113</v>
      </c>
      <c r="H17" s="6" t="s">
        <v>114</v>
      </c>
      <c r="I17" s="6" t="s">
        <v>115</v>
      </c>
      <c r="J17" s="2"/>
      <c r="K17" s="2"/>
      <c r="L17" s="2"/>
      <c r="M17" s="2"/>
    </row>
    <row r="18" spans="1:13">
      <c r="A18" s="2" t="s">
        <v>37</v>
      </c>
      <c r="B18" s="2" t="s">
        <v>38</v>
      </c>
      <c r="C18" s="2" t="s">
        <v>39</v>
      </c>
      <c r="D18" s="2" t="s">
        <v>40</v>
      </c>
      <c r="E18" s="2">
        <v>3</v>
      </c>
      <c r="F18" s="2">
        <v>8</v>
      </c>
      <c r="G18" s="2">
        <v>5</v>
      </c>
      <c r="H18" s="2">
        <v>4</v>
      </c>
      <c r="I18" s="2" t="str">
        <f t="shared" ref="I18:I32" si="0">IF(G18&lt;=3,"Yes","No")</f>
        <v>No</v>
      </c>
      <c r="J18" s="2"/>
      <c r="K18" s="2"/>
      <c r="L18" s="2"/>
      <c r="M18" s="2"/>
    </row>
    <row r="19" spans="1:13">
      <c r="A19" s="2" t="s">
        <v>44</v>
      </c>
      <c r="B19" s="2" t="s">
        <v>45</v>
      </c>
      <c r="C19" s="2" t="s">
        <v>39</v>
      </c>
      <c r="D19" s="2" t="s">
        <v>46</v>
      </c>
      <c r="E19" s="2">
        <v>4</v>
      </c>
      <c r="F19" s="2">
        <v>9</v>
      </c>
      <c r="G19" s="2">
        <v>4</v>
      </c>
      <c r="H19" s="2">
        <v>5</v>
      </c>
      <c r="I19" s="2" t="str">
        <f t="shared" si="0"/>
        <v>No</v>
      </c>
      <c r="J19" s="2"/>
      <c r="K19" s="2"/>
      <c r="L19" s="2"/>
      <c r="M19" s="2"/>
    </row>
    <row r="20" spans="1:13">
      <c r="A20" s="2" t="s">
        <v>50</v>
      </c>
      <c r="B20" s="2" t="s">
        <v>51</v>
      </c>
      <c r="C20" s="2" t="s">
        <v>39</v>
      </c>
      <c r="D20" s="2" t="s">
        <v>52</v>
      </c>
      <c r="E20" s="2">
        <v>4</v>
      </c>
      <c r="F20" s="2">
        <v>9</v>
      </c>
      <c r="G20" s="2">
        <v>3</v>
      </c>
      <c r="H20" s="2">
        <v>5</v>
      </c>
      <c r="I20" s="2" t="str">
        <f t="shared" si="0"/>
        <v>Yes</v>
      </c>
      <c r="J20" s="2"/>
      <c r="K20" s="2"/>
      <c r="L20" s="2"/>
      <c r="M20" s="2"/>
    </row>
    <row r="21" spans="1:13">
      <c r="A21" s="2" t="s">
        <v>56</v>
      </c>
      <c r="B21" s="2" t="s">
        <v>57</v>
      </c>
      <c r="C21" s="2" t="s">
        <v>58</v>
      </c>
      <c r="D21" s="2" t="s">
        <v>59</v>
      </c>
      <c r="E21" s="2">
        <v>4</v>
      </c>
      <c r="F21" s="2">
        <v>8</v>
      </c>
      <c r="G21" s="2">
        <v>5</v>
      </c>
      <c r="H21" s="2">
        <v>4</v>
      </c>
      <c r="I21" s="2" t="str">
        <f t="shared" si="0"/>
        <v>No</v>
      </c>
      <c r="J21" s="2"/>
      <c r="K21" s="2"/>
      <c r="L21" s="2"/>
      <c r="M21" s="2"/>
    </row>
    <row r="22" spans="1:13">
      <c r="A22" s="2" t="s">
        <v>63</v>
      </c>
      <c r="B22" s="2" t="s">
        <v>64</v>
      </c>
      <c r="C22" s="2" t="s">
        <v>65</v>
      </c>
      <c r="D22" s="2" t="s">
        <v>66</v>
      </c>
      <c r="E22" s="2">
        <v>3</v>
      </c>
      <c r="F22" s="2">
        <v>8</v>
      </c>
      <c r="G22" s="2">
        <v>6</v>
      </c>
      <c r="H22" s="2">
        <v>4</v>
      </c>
      <c r="I22" s="2" t="str">
        <f t="shared" si="0"/>
        <v>No</v>
      </c>
      <c r="J22" s="2"/>
      <c r="K22" s="2"/>
      <c r="L22" s="2"/>
      <c r="M22" s="2"/>
    </row>
    <row r="23" spans="1:13">
      <c r="A23" s="2" t="s">
        <v>70</v>
      </c>
      <c r="B23" s="2" t="s">
        <v>71</v>
      </c>
      <c r="C23" s="2" t="s">
        <v>65</v>
      </c>
      <c r="D23" s="2" t="s">
        <v>52</v>
      </c>
      <c r="E23" s="2">
        <v>3</v>
      </c>
      <c r="F23" s="2">
        <v>7</v>
      </c>
      <c r="G23" s="2">
        <v>4</v>
      </c>
      <c r="H23" s="2">
        <v>4</v>
      </c>
      <c r="I23" s="2" t="str">
        <f t="shared" si="0"/>
        <v>No</v>
      </c>
      <c r="J23" s="2"/>
      <c r="K23" s="2"/>
      <c r="L23" s="2"/>
      <c r="M23" s="2"/>
    </row>
    <row r="24" spans="1:13">
      <c r="A24" s="2" t="s">
        <v>75</v>
      </c>
      <c r="B24" s="2" t="s">
        <v>76</v>
      </c>
      <c r="C24" s="2" t="s">
        <v>65</v>
      </c>
      <c r="D24" s="2" t="s">
        <v>59</v>
      </c>
      <c r="E24" s="2">
        <v>4</v>
      </c>
      <c r="F24" s="2">
        <v>8</v>
      </c>
      <c r="G24" s="2">
        <v>5</v>
      </c>
      <c r="H24" s="2">
        <v>4</v>
      </c>
      <c r="I24" s="2" t="str">
        <f t="shared" si="0"/>
        <v>No</v>
      </c>
      <c r="J24" s="2"/>
      <c r="K24" s="2"/>
      <c r="L24" s="2"/>
      <c r="M24" s="2"/>
    </row>
    <row r="25" spans="1:13">
      <c r="A25" s="2" t="s">
        <v>77</v>
      </c>
      <c r="B25" s="2" t="s">
        <v>78</v>
      </c>
      <c r="C25" s="2" t="s">
        <v>65</v>
      </c>
      <c r="D25" s="2" t="s">
        <v>59</v>
      </c>
      <c r="E25" s="2">
        <v>2</v>
      </c>
      <c r="F25" s="2">
        <v>6</v>
      </c>
      <c r="G25" s="2">
        <v>6</v>
      </c>
      <c r="H25" s="2">
        <v>3</v>
      </c>
      <c r="I25" s="2" t="str">
        <f t="shared" si="0"/>
        <v>No</v>
      </c>
      <c r="J25" s="2"/>
      <c r="K25" s="2"/>
      <c r="L25" s="2"/>
      <c r="M25" s="2"/>
    </row>
    <row r="26" spans="1:13">
      <c r="A26" s="2" t="s">
        <v>79</v>
      </c>
      <c r="B26" s="2" t="s">
        <v>80</v>
      </c>
      <c r="C26" s="2" t="s">
        <v>81</v>
      </c>
      <c r="D26" s="2" t="s">
        <v>40</v>
      </c>
      <c r="E26" s="2">
        <v>3</v>
      </c>
      <c r="F26" s="2">
        <v>7</v>
      </c>
      <c r="G26" s="2">
        <v>7</v>
      </c>
      <c r="H26" s="2">
        <v>4</v>
      </c>
      <c r="I26" s="2" t="str">
        <f t="shared" si="0"/>
        <v>No</v>
      </c>
      <c r="J26" s="2"/>
      <c r="K26" s="2"/>
      <c r="L26" s="2"/>
      <c r="M26" s="2"/>
    </row>
    <row r="27" spans="1:13">
      <c r="A27" s="2" t="s">
        <v>82</v>
      </c>
      <c r="B27" s="2" t="s">
        <v>83</v>
      </c>
      <c r="C27" s="2" t="s">
        <v>81</v>
      </c>
      <c r="D27" s="2" t="s">
        <v>52</v>
      </c>
      <c r="E27" s="2">
        <v>4</v>
      </c>
      <c r="F27" s="2">
        <v>8</v>
      </c>
      <c r="G27" s="2">
        <v>5</v>
      </c>
      <c r="H27" s="2">
        <v>4</v>
      </c>
      <c r="I27" s="2" t="str">
        <f t="shared" si="0"/>
        <v>No</v>
      </c>
      <c r="J27" s="2"/>
      <c r="K27" s="2"/>
      <c r="L27" s="2"/>
      <c r="M27" s="2"/>
    </row>
    <row r="28" spans="1:13">
      <c r="A28" s="2" t="s">
        <v>84</v>
      </c>
      <c r="B28" s="2" t="s">
        <v>85</v>
      </c>
      <c r="C28" s="2" t="s">
        <v>81</v>
      </c>
      <c r="D28" s="2" t="s">
        <v>46</v>
      </c>
      <c r="E28" s="2">
        <v>3</v>
      </c>
      <c r="F28" s="2">
        <v>7</v>
      </c>
      <c r="G28" s="2">
        <v>6</v>
      </c>
      <c r="H28" s="2">
        <v>4</v>
      </c>
      <c r="I28" s="2" t="str">
        <f t="shared" si="0"/>
        <v>No</v>
      </c>
      <c r="J28" s="2"/>
      <c r="K28" s="2"/>
      <c r="L28" s="2"/>
      <c r="M28" s="2"/>
    </row>
    <row r="29" spans="1:13">
      <c r="A29" s="2" t="s">
        <v>86</v>
      </c>
      <c r="B29" s="2" t="s">
        <v>87</v>
      </c>
      <c r="C29" s="2" t="s">
        <v>88</v>
      </c>
      <c r="D29" s="2" t="s">
        <v>66</v>
      </c>
      <c r="E29" s="2">
        <v>3</v>
      </c>
      <c r="F29" s="2">
        <v>8</v>
      </c>
      <c r="G29" s="2">
        <v>7</v>
      </c>
      <c r="H29" s="2">
        <v>4</v>
      </c>
      <c r="I29" s="2" t="str">
        <f t="shared" si="0"/>
        <v>No</v>
      </c>
      <c r="J29" s="2"/>
      <c r="K29" s="2"/>
      <c r="L29" s="2"/>
      <c r="M29" s="2"/>
    </row>
    <row r="30" spans="1:13">
      <c r="A30" s="2" t="s">
        <v>89</v>
      </c>
      <c r="B30" s="2" t="s">
        <v>90</v>
      </c>
      <c r="C30" s="2" t="s">
        <v>88</v>
      </c>
      <c r="D30" s="2" t="s">
        <v>52</v>
      </c>
      <c r="E30" s="2">
        <v>4</v>
      </c>
      <c r="F30" s="2">
        <v>8</v>
      </c>
      <c r="G30" s="2">
        <v>4</v>
      </c>
      <c r="H30" s="2">
        <v>5</v>
      </c>
      <c r="I30" s="2" t="str">
        <f t="shared" si="0"/>
        <v>No</v>
      </c>
      <c r="J30" s="2"/>
      <c r="K30" s="2"/>
      <c r="L30" s="2"/>
      <c r="M30" s="2"/>
    </row>
    <row r="31" spans="1:13">
      <c r="A31" s="2" t="s">
        <v>91</v>
      </c>
      <c r="B31" s="2" t="s">
        <v>92</v>
      </c>
      <c r="C31" s="2" t="s">
        <v>93</v>
      </c>
      <c r="D31" s="2" t="s">
        <v>59</v>
      </c>
      <c r="E31" s="2">
        <v>5</v>
      </c>
      <c r="F31" s="2">
        <v>10</v>
      </c>
      <c r="G31" s="2">
        <v>6</v>
      </c>
      <c r="H31" s="2">
        <v>5</v>
      </c>
      <c r="I31" s="2" t="str">
        <f t="shared" si="0"/>
        <v>No</v>
      </c>
      <c r="J31" s="2"/>
      <c r="K31" s="2"/>
      <c r="L31" s="2"/>
      <c r="M31" s="2"/>
    </row>
    <row r="32" spans="1:13">
      <c r="A32" s="2" t="s">
        <v>94</v>
      </c>
      <c r="B32" s="2" t="s">
        <v>95</v>
      </c>
      <c r="C32" s="2" t="s">
        <v>93</v>
      </c>
      <c r="D32" s="2" t="s">
        <v>59</v>
      </c>
      <c r="E32" s="2">
        <v>4</v>
      </c>
      <c r="F32" s="2">
        <v>9</v>
      </c>
      <c r="G32" s="2">
        <v>5</v>
      </c>
      <c r="H32" s="2">
        <v>5</v>
      </c>
      <c r="I32" s="2" t="str">
        <f t="shared" si="0"/>
        <v>No</v>
      </c>
      <c r="J32" s="2"/>
      <c r="K32" s="2"/>
      <c r="L32" s="2"/>
      <c r="M32" s="2"/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opLeftCell="A11" workbookViewId="0">
      <selection activeCell="A15" sqref="$A15:$XFD15"/>
    </sheetView>
  </sheetViews>
  <sheetFormatPr defaultColWidth="9" defaultRowHeight="16.8"/>
  <cols>
    <col min="1" max="1" width="10" customWidth="1"/>
    <col min="2" max="2" width="34" customWidth="1"/>
    <col min="3" max="3" width="32" customWidth="1"/>
    <col min="4" max="4" width="14" customWidth="1"/>
    <col min="5" max="8" width="12" customWidth="1"/>
    <col min="9" max="9" width="10" customWidth="1"/>
    <col min="11" max="11" width="32" customWidth="1"/>
    <col min="12" max="12" width="10" customWidth="1"/>
    <col min="13" max="13" width="18" customWidth="1"/>
  </cols>
  <sheetData>
    <row r="1" ht="20.4" spans="1:13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4" spans="1:13">
      <c r="A3" s="4" t="s">
        <v>97</v>
      </c>
      <c r="B3" s="5">
        <v>24</v>
      </c>
      <c r="C3" s="2"/>
      <c r="D3" s="2"/>
      <c r="E3" s="2"/>
      <c r="F3" s="2"/>
      <c r="G3" s="2"/>
      <c r="H3" s="2"/>
      <c r="I3" s="2"/>
      <c r="J3" s="2"/>
      <c r="K3" s="6" t="s">
        <v>98</v>
      </c>
      <c r="L3" s="6" t="s">
        <v>99</v>
      </c>
      <c r="M3" s="6" t="s">
        <v>100</v>
      </c>
    </row>
    <row r="4" ht="34" spans="1:13">
      <c r="A4" s="4" t="s">
        <v>101</v>
      </c>
      <c r="B4" s="5">
        <f>COUNTA(A18:A32)</f>
        <v>15</v>
      </c>
      <c r="C4" s="2"/>
      <c r="D4" s="2"/>
      <c r="E4" s="2"/>
      <c r="F4" s="2"/>
      <c r="G4" s="2"/>
      <c r="H4" s="2"/>
      <c r="I4" s="2"/>
      <c r="J4" s="2"/>
      <c r="K4" s="7" t="s">
        <v>121</v>
      </c>
      <c r="L4" s="8">
        <f>B12</f>
        <v>0.733333333333333</v>
      </c>
      <c r="M4" s="7" t="str">
        <f>IF(B12&gt;=0.5,"Satisfied","Not satisfied")</f>
        <v>Satisfied</v>
      </c>
    </row>
    <row r="5" ht="51" spans="1:13">
      <c r="A5" s="4" t="s">
        <v>103</v>
      </c>
      <c r="B5" s="5">
        <f>SUM(E18:E32)</f>
        <v>41</v>
      </c>
      <c r="C5" s="2"/>
      <c r="D5" s="2"/>
      <c r="E5" s="2"/>
      <c r="F5" s="2"/>
      <c r="G5" s="2"/>
      <c r="H5" s="2"/>
      <c r="I5" s="2"/>
      <c r="J5" s="2"/>
      <c r="K5" s="7" t="s">
        <v>122</v>
      </c>
      <c r="L5" s="8">
        <f>B7</f>
        <v>1.70833333333333</v>
      </c>
      <c r="M5" s="7" t="str">
        <f>IF(B7&lt;2,"Satisfied","Not satisfied")</f>
        <v>Satisfied</v>
      </c>
    </row>
    <row r="6" ht="51" spans="1:13">
      <c r="A6" s="4" t="s">
        <v>105</v>
      </c>
      <c r="B6" s="5">
        <f>B3</f>
        <v>24</v>
      </c>
      <c r="C6" s="2"/>
      <c r="D6" s="2"/>
      <c r="E6" s="2"/>
      <c r="F6" s="2"/>
      <c r="G6" s="2"/>
      <c r="H6" s="2"/>
      <c r="I6" s="2"/>
      <c r="J6" s="2"/>
      <c r="K6" s="7" t="s">
        <v>123</v>
      </c>
      <c r="L6" s="8">
        <f>B10</f>
        <v>0.116642368703961</v>
      </c>
      <c r="M6" s="7" t="str">
        <f>IF(B10&lt;0.3,"Not importance-focused","Importance-focused")</f>
        <v>Not importance-focused</v>
      </c>
    </row>
    <row r="7" ht="51" spans="1:13">
      <c r="A7" s="4" t="s">
        <v>5</v>
      </c>
      <c r="B7" s="9">
        <f>B5/B6</f>
        <v>1.70833333333333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34" spans="1:13">
      <c r="A8" s="4" t="s">
        <v>107</v>
      </c>
      <c r="B8" s="9">
        <f>AVERAGE(F18:F32)</f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34" spans="1:13">
      <c r="A9" s="4" t="s">
        <v>108</v>
      </c>
      <c r="B9" s="9">
        <f>_xlfn.STDEV.P(F18:F32)</f>
        <v>0.816496580927726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51" spans="1:13">
      <c r="A10" s="4" t="s">
        <v>109</v>
      </c>
      <c r="B10" s="9">
        <f>IFERROR(B9/B8,0)</f>
        <v>0.116642368703961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68" spans="1:13">
      <c r="A11" s="4" t="s">
        <v>110</v>
      </c>
      <c r="B11" s="9">
        <f>COUNTIF(G18:G32,"&lt;=3")</f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34" spans="1:13">
      <c r="A12" s="4" t="s">
        <v>6</v>
      </c>
      <c r="B12" s="9">
        <f>B11/B4</f>
        <v>0.733333333333333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34" spans="1:13">
      <c r="A13" s="4" t="s">
        <v>8</v>
      </c>
      <c r="B13" s="9">
        <f>AVERAGE(H18:H32)</f>
        <v>3.2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34" spans="1:13">
      <c r="A14" s="4" t="s">
        <v>15</v>
      </c>
      <c r="B14" s="10" t="str">
        <f>IF(OR(B7&gt;=2,AND(B7&gt;=1.6,B13&gt;=4)),"High-pressure",IF(AND(B12&gt;=0.5,B7&lt;2),"Deadline-focused",IF(AND(B10&gt;=0.3,B12&lt;0.5,B7&lt;2),"Importance-focused","Low-pressure / Balanced")))</f>
        <v>Deadline-focused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4"/>
      <c r="B15" s="1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7" spans="1:13">
      <c r="A17" s="6" t="s">
        <v>31</v>
      </c>
      <c r="B17" s="6" t="s">
        <v>32</v>
      </c>
      <c r="C17" s="6" t="s">
        <v>33</v>
      </c>
      <c r="D17" s="6" t="s">
        <v>34</v>
      </c>
      <c r="E17" s="6" t="s">
        <v>111</v>
      </c>
      <c r="F17" s="6" t="s">
        <v>112</v>
      </c>
      <c r="G17" s="6" t="s">
        <v>113</v>
      </c>
      <c r="H17" s="6" t="s">
        <v>114</v>
      </c>
      <c r="I17" s="6" t="s">
        <v>115</v>
      </c>
      <c r="J17" s="2"/>
      <c r="K17" s="2"/>
      <c r="L17" s="2"/>
      <c r="M17" s="2"/>
    </row>
    <row r="18" spans="1:13">
      <c r="A18" s="2" t="s">
        <v>37</v>
      </c>
      <c r="B18" s="2" t="s">
        <v>38</v>
      </c>
      <c r="C18" s="2" t="s">
        <v>39</v>
      </c>
      <c r="D18" s="2" t="s">
        <v>40</v>
      </c>
      <c r="E18" s="2">
        <v>3</v>
      </c>
      <c r="F18" s="2">
        <v>7</v>
      </c>
      <c r="G18" s="2">
        <v>2</v>
      </c>
      <c r="H18" s="2">
        <v>3</v>
      </c>
      <c r="I18" s="2" t="str">
        <f t="shared" ref="I18:I32" si="0">IF(G18&lt;=3,"Yes","No")</f>
        <v>Yes</v>
      </c>
      <c r="J18" s="2"/>
      <c r="K18" s="2"/>
      <c r="L18" s="2"/>
      <c r="M18" s="2"/>
    </row>
    <row r="19" spans="1:13">
      <c r="A19" s="2" t="s">
        <v>44</v>
      </c>
      <c r="B19" s="2" t="s">
        <v>45</v>
      </c>
      <c r="C19" s="2" t="s">
        <v>39</v>
      </c>
      <c r="D19" s="2" t="s">
        <v>46</v>
      </c>
      <c r="E19" s="2">
        <v>3</v>
      </c>
      <c r="F19" s="2">
        <v>8</v>
      </c>
      <c r="G19" s="2">
        <v>2</v>
      </c>
      <c r="H19" s="2">
        <v>4</v>
      </c>
      <c r="I19" s="2" t="str">
        <f t="shared" si="0"/>
        <v>Yes</v>
      </c>
      <c r="J19" s="2"/>
      <c r="K19" s="2"/>
      <c r="L19" s="2"/>
      <c r="M19" s="2"/>
    </row>
    <row r="20" spans="1:13">
      <c r="A20" s="2" t="s">
        <v>50</v>
      </c>
      <c r="B20" s="2" t="s">
        <v>51</v>
      </c>
      <c r="C20" s="2" t="s">
        <v>39</v>
      </c>
      <c r="D20" s="2" t="s">
        <v>52</v>
      </c>
      <c r="E20" s="2">
        <v>2</v>
      </c>
      <c r="F20" s="2">
        <v>7</v>
      </c>
      <c r="G20" s="2">
        <v>1</v>
      </c>
      <c r="H20" s="2">
        <v>3</v>
      </c>
      <c r="I20" s="2" t="str">
        <f t="shared" si="0"/>
        <v>Yes</v>
      </c>
      <c r="J20" s="2"/>
      <c r="K20" s="2"/>
      <c r="L20" s="2"/>
      <c r="M20" s="2"/>
    </row>
    <row r="21" spans="1:13">
      <c r="A21" s="2" t="s">
        <v>56</v>
      </c>
      <c r="B21" s="2" t="s">
        <v>57</v>
      </c>
      <c r="C21" s="2" t="s">
        <v>58</v>
      </c>
      <c r="D21" s="2" t="s">
        <v>59</v>
      </c>
      <c r="E21" s="2">
        <v>3</v>
      </c>
      <c r="F21" s="2">
        <v>8</v>
      </c>
      <c r="G21" s="2">
        <v>3</v>
      </c>
      <c r="H21" s="2">
        <v>4</v>
      </c>
      <c r="I21" s="2" t="str">
        <f t="shared" si="0"/>
        <v>Yes</v>
      </c>
      <c r="J21" s="2"/>
      <c r="K21" s="2"/>
      <c r="L21" s="2"/>
      <c r="M21" s="2"/>
    </row>
    <row r="22" spans="1:13">
      <c r="A22" s="2" t="s">
        <v>63</v>
      </c>
      <c r="B22" s="2" t="s">
        <v>64</v>
      </c>
      <c r="C22" s="2" t="s">
        <v>65</v>
      </c>
      <c r="D22" s="2" t="s">
        <v>66</v>
      </c>
      <c r="E22" s="2">
        <v>3</v>
      </c>
      <c r="F22" s="2">
        <v>7</v>
      </c>
      <c r="G22" s="2">
        <v>1</v>
      </c>
      <c r="H22" s="2">
        <v>3</v>
      </c>
      <c r="I22" s="2" t="str">
        <f t="shared" si="0"/>
        <v>Yes</v>
      </c>
      <c r="J22" s="2"/>
      <c r="K22" s="2"/>
      <c r="L22" s="2"/>
      <c r="M22" s="2"/>
    </row>
    <row r="23" spans="1:13">
      <c r="A23" s="2" t="s">
        <v>70</v>
      </c>
      <c r="B23" s="2" t="s">
        <v>71</v>
      </c>
      <c r="C23" s="2" t="s">
        <v>65</v>
      </c>
      <c r="D23" s="2" t="s">
        <v>52</v>
      </c>
      <c r="E23" s="2">
        <v>2</v>
      </c>
      <c r="F23" s="2">
        <v>7</v>
      </c>
      <c r="G23" s="2">
        <v>2</v>
      </c>
      <c r="H23" s="2">
        <v>3</v>
      </c>
      <c r="I23" s="2" t="str">
        <f t="shared" si="0"/>
        <v>Yes</v>
      </c>
      <c r="J23" s="2"/>
      <c r="K23" s="2"/>
      <c r="L23" s="2"/>
      <c r="M23" s="2"/>
    </row>
    <row r="24" spans="1:13">
      <c r="A24" s="2" t="s">
        <v>75</v>
      </c>
      <c r="B24" s="2" t="s">
        <v>76</v>
      </c>
      <c r="C24" s="2" t="s">
        <v>65</v>
      </c>
      <c r="D24" s="2" t="s">
        <v>59</v>
      </c>
      <c r="E24" s="2">
        <v>3</v>
      </c>
      <c r="F24" s="2">
        <v>7</v>
      </c>
      <c r="G24" s="2">
        <v>3</v>
      </c>
      <c r="H24" s="2">
        <v>3</v>
      </c>
      <c r="I24" s="2" t="str">
        <f t="shared" si="0"/>
        <v>Yes</v>
      </c>
      <c r="J24" s="2"/>
      <c r="K24" s="2"/>
      <c r="L24" s="2"/>
      <c r="M24" s="2"/>
    </row>
    <row r="25" spans="1:13">
      <c r="A25" s="2" t="s">
        <v>77</v>
      </c>
      <c r="B25" s="2" t="s">
        <v>78</v>
      </c>
      <c r="C25" s="2" t="s">
        <v>65</v>
      </c>
      <c r="D25" s="2" t="s">
        <v>59</v>
      </c>
      <c r="E25" s="2">
        <v>2</v>
      </c>
      <c r="F25" s="2">
        <v>5</v>
      </c>
      <c r="G25" s="2">
        <v>2</v>
      </c>
      <c r="H25" s="2">
        <v>2</v>
      </c>
      <c r="I25" s="2" t="str">
        <f t="shared" si="0"/>
        <v>Yes</v>
      </c>
      <c r="J25" s="2"/>
      <c r="K25" s="2"/>
      <c r="L25" s="2"/>
      <c r="M25" s="2"/>
    </row>
    <row r="26" spans="1:13">
      <c r="A26" s="2" t="s">
        <v>79</v>
      </c>
      <c r="B26" s="2" t="s">
        <v>80</v>
      </c>
      <c r="C26" s="2" t="s">
        <v>81</v>
      </c>
      <c r="D26" s="2" t="s">
        <v>40</v>
      </c>
      <c r="E26" s="2">
        <v>2</v>
      </c>
      <c r="F26" s="2">
        <v>6</v>
      </c>
      <c r="G26" s="2">
        <v>4</v>
      </c>
      <c r="H26" s="2">
        <v>3</v>
      </c>
      <c r="I26" s="2" t="str">
        <f t="shared" si="0"/>
        <v>No</v>
      </c>
      <c r="J26" s="2"/>
      <c r="K26" s="2"/>
      <c r="L26" s="2"/>
      <c r="M26" s="2"/>
    </row>
    <row r="27" spans="1:13">
      <c r="A27" s="2" t="s">
        <v>82</v>
      </c>
      <c r="B27" s="2" t="s">
        <v>83</v>
      </c>
      <c r="C27" s="2" t="s">
        <v>81</v>
      </c>
      <c r="D27" s="2" t="s">
        <v>52</v>
      </c>
      <c r="E27" s="2">
        <v>3</v>
      </c>
      <c r="F27" s="2">
        <v>7</v>
      </c>
      <c r="G27" s="2">
        <v>3</v>
      </c>
      <c r="H27" s="2">
        <v>3</v>
      </c>
      <c r="I27" s="2" t="str">
        <f t="shared" si="0"/>
        <v>Yes</v>
      </c>
      <c r="J27" s="2"/>
      <c r="K27" s="2"/>
      <c r="L27" s="2"/>
      <c r="M27" s="2"/>
    </row>
    <row r="28" spans="1:13">
      <c r="A28" s="2" t="s">
        <v>84</v>
      </c>
      <c r="B28" s="2" t="s">
        <v>85</v>
      </c>
      <c r="C28" s="2" t="s">
        <v>81</v>
      </c>
      <c r="D28" s="2" t="s">
        <v>46</v>
      </c>
      <c r="E28" s="2">
        <v>2</v>
      </c>
      <c r="F28" s="2">
        <v>6</v>
      </c>
      <c r="G28" s="2">
        <v>5</v>
      </c>
      <c r="H28" s="2">
        <v>3</v>
      </c>
      <c r="I28" s="2" t="str">
        <f t="shared" si="0"/>
        <v>No</v>
      </c>
      <c r="J28" s="2"/>
      <c r="K28" s="2"/>
      <c r="L28" s="2"/>
      <c r="M28" s="2"/>
    </row>
    <row r="29" spans="1:13">
      <c r="A29" s="2" t="s">
        <v>86</v>
      </c>
      <c r="B29" s="2" t="s">
        <v>87</v>
      </c>
      <c r="C29" s="2" t="s">
        <v>88</v>
      </c>
      <c r="D29" s="2" t="s">
        <v>66</v>
      </c>
      <c r="E29" s="2">
        <v>3</v>
      </c>
      <c r="F29" s="2">
        <v>7</v>
      </c>
      <c r="G29" s="2">
        <v>4</v>
      </c>
      <c r="H29" s="2">
        <v>3</v>
      </c>
      <c r="I29" s="2" t="str">
        <f t="shared" si="0"/>
        <v>No</v>
      </c>
      <c r="J29" s="2"/>
      <c r="K29" s="2"/>
      <c r="L29" s="2"/>
      <c r="M29" s="2"/>
    </row>
    <row r="30" spans="1:13">
      <c r="A30" s="2" t="s">
        <v>89</v>
      </c>
      <c r="B30" s="2" t="s">
        <v>90</v>
      </c>
      <c r="C30" s="2" t="s">
        <v>88</v>
      </c>
      <c r="D30" s="2" t="s">
        <v>52</v>
      </c>
      <c r="E30" s="2">
        <v>3</v>
      </c>
      <c r="F30" s="2">
        <v>8</v>
      </c>
      <c r="G30" s="2">
        <v>2</v>
      </c>
      <c r="H30" s="2">
        <v>4</v>
      </c>
      <c r="I30" s="2" t="str">
        <f t="shared" si="0"/>
        <v>Yes</v>
      </c>
      <c r="J30" s="2"/>
      <c r="K30" s="2"/>
      <c r="L30" s="2"/>
      <c r="M30" s="2"/>
    </row>
    <row r="31" spans="1:13">
      <c r="A31" s="2" t="s">
        <v>91</v>
      </c>
      <c r="B31" s="2" t="s">
        <v>92</v>
      </c>
      <c r="C31" s="2" t="s">
        <v>93</v>
      </c>
      <c r="D31" s="2" t="s">
        <v>59</v>
      </c>
      <c r="E31" s="2">
        <v>4</v>
      </c>
      <c r="F31" s="2">
        <v>8</v>
      </c>
      <c r="G31" s="2">
        <v>3</v>
      </c>
      <c r="H31" s="2">
        <v>4</v>
      </c>
      <c r="I31" s="2" t="str">
        <f t="shared" si="0"/>
        <v>Yes</v>
      </c>
      <c r="J31" s="2"/>
      <c r="K31" s="2"/>
      <c r="L31" s="2"/>
      <c r="M31" s="2"/>
    </row>
    <row r="32" spans="1:13">
      <c r="A32" s="2" t="s">
        <v>94</v>
      </c>
      <c r="B32" s="2" t="s">
        <v>95</v>
      </c>
      <c r="C32" s="2" t="s">
        <v>93</v>
      </c>
      <c r="D32" s="2" t="s">
        <v>59</v>
      </c>
      <c r="E32" s="2">
        <v>3</v>
      </c>
      <c r="F32" s="2">
        <v>7</v>
      </c>
      <c r="G32" s="2">
        <v>5</v>
      </c>
      <c r="H32" s="2">
        <v>3</v>
      </c>
      <c r="I32" s="2" t="str">
        <f t="shared" si="0"/>
        <v>No</v>
      </c>
      <c r="J32" s="2"/>
      <c r="K32" s="2"/>
      <c r="L32" s="2"/>
      <c r="M32" s="2"/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topLeftCell="A11" workbookViewId="0">
      <selection activeCell="A15" sqref="$A15:$XFD15"/>
    </sheetView>
  </sheetViews>
  <sheetFormatPr defaultColWidth="9" defaultRowHeight="16.8"/>
  <cols>
    <col min="1" max="1" width="10" customWidth="1"/>
    <col min="2" max="2" width="34" customWidth="1"/>
    <col min="3" max="3" width="32" customWidth="1"/>
    <col min="4" max="4" width="14" customWidth="1"/>
    <col min="5" max="8" width="12" customWidth="1"/>
    <col min="9" max="9" width="10" customWidth="1"/>
    <col min="11" max="11" width="32" customWidth="1"/>
    <col min="12" max="12" width="10" customWidth="1"/>
    <col min="13" max="13" width="18" customWidth="1"/>
  </cols>
  <sheetData>
    <row r="1" ht="20.4" spans="1:13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4" spans="1:13">
      <c r="A3" s="4" t="s">
        <v>97</v>
      </c>
      <c r="B3" s="5">
        <v>26</v>
      </c>
      <c r="C3" s="2"/>
      <c r="D3" s="2"/>
      <c r="E3" s="2"/>
      <c r="F3" s="2"/>
      <c r="G3" s="2"/>
      <c r="H3" s="2"/>
      <c r="I3" s="2"/>
      <c r="J3" s="2"/>
      <c r="K3" s="6" t="s">
        <v>98</v>
      </c>
      <c r="L3" s="6" t="s">
        <v>99</v>
      </c>
      <c r="M3" s="6" t="s">
        <v>100</v>
      </c>
    </row>
    <row r="4" ht="34" spans="1:13">
      <c r="A4" s="4" t="s">
        <v>101</v>
      </c>
      <c r="B4" s="5">
        <f>COUNTA(A18:A32)</f>
        <v>15</v>
      </c>
      <c r="C4" s="2"/>
      <c r="D4" s="2"/>
      <c r="E4" s="2"/>
      <c r="F4" s="2"/>
      <c r="G4" s="2"/>
      <c r="H4" s="2"/>
      <c r="I4" s="2"/>
      <c r="J4" s="2"/>
      <c r="K4" s="7" t="s">
        <v>125</v>
      </c>
      <c r="L4" s="8">
        <f>B10</f>
        <v>0.399072999912622</v>
      </c>
      <c r="M4" s="7" t="str">
        <f>IF(B10&gt;=0.3,"Satisfied","Not satisfied")</f>
        <v>Satisfied</v>
      </c>
    </row>
    <row r="5" ht="51" spans="1:13">
      <c r="A5" s="4" t="s">
        <v>103</v>
      </c>
      <c r="B5" s="5">
        <f>SUM(E18:E32)</f>
        <v>41</v>
      </c>
      <c r="C5" s="2"/>
      <c r="D5" s="2"/>
      <c r="E5" s="2"/>
      <c r="F5" s="2"/>
      <c r="G5" s="2"/>
      <c r="H5" s="2"/>
      <c r="I5" s="2"/>
      <c r="J5" s="2"/>
      <c r="K5" s="7" t="s">
        <v>104</v>
      </c>
      <c r="L5" s="8">
        <f>B12</f>
        <v>0</v>
      </c>
      <c r="M5" s="7" t="str">
        <f>IF(B12&lt;0.5,"Satisfied","Not satisfied")</f>
        <v>Satisfied</v>
      </c>
    </row>
    <row r="6" ht="51" spans="1:13">
      <c r="A6" s="4" t="s">
        <v>105</v>
      </c>
      <c r="B6" s="5">
        <f>B3</f>
        <v>26</v>
      </c>
      <c r="C6" s="2"/>
      <c r="D6" s="2"/>
      <c r="E6" s="2"/>
      <c r="F6" s="2"/>
      <c r="G6" s="2"/>
      <c r="H6" s="2"/>
      <c r="I6" s="2"/>
      <c r="J6" s="2"/>
      <c r="K6" s="7" t="s">
        <v>122</v>
      </c>
      <c r="L6" s="8">
        <f>B7</f>
        <v>1.57692307692308</v>
      </c>
      <c r="M6" s="7" t="str">
        <f>IF(B7&lt;2,"Satisfied","Not satisfied")</f>
        <v>Satisfied</v>
      </c>
    </row>
    <row r="7" ht="51" spans="1:13">
      <c r="A7" s="4" t="s">
        <v>5</v>
      </c>
      <c r="B7" s="9">
        <f>B5/B6</f>
        <v>1.57692307692308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34" spans="1:13">
      <c r="A8" s="4" t="s">
        <v>107</v>
      </c>
      <c r="B8" s="9">
        <f>AVERAGE(F18:F32)</f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34" spans="1:13">
      <c r="A9" s="4" t="s">
        <v>108</v>
      </c>
      <c r="B9" s="9">
        <f>_xlfn.STDEV.P(F18:F32)</f>
        <v>2.39443799947573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51" spans="1:13">
      <c r="A10" s="4" t="s">
        <v>109</v>
      </c>
      <c r="B10" s="9">
        <f>IFERROR(B9/B8,0)</f>
        <v>0.399072999912622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68" spans="1:13">
      <c r="A11" s="4" t="s">
        <v>110</v>
      </c>
      <c r="B11" s="9">
        <f>COUNTIF(G18:G32,"&lt;=3")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34" spans="1:13">
      <c r="A12" s="4" t="s">
        <v>6</v>
      </c>
      <c r="B12" s="9">
        <f>B11/B4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34" spans="1:13">
      <c r="A13" s="4" t="s">
        <v>8</v>
      </c>
      <c r="B13" s="9">
        <f>AVERAGE(H18:H32)</f>
        <v>3.26666666666667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34" spans="1:13">
      <c r="A14" s="4" t="s">
        <v>15</v>
      </c>
      <c r="B14" s="10" t="str">
        <f>IF(OR(B7&gt;=2,AND(B7&gt;=1.6,B13&gt;=4)),"High-pressure",IF(AND(B12&gt;=0.5,B7&lt;2),"Deadline-focused",IF(AND(B10&gt;=0.3,B12&lt;0.5,B7&lt;2),"Importance-focused","Low-pressure / Balanced")))</f>
        <v>Importance-focused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4"/>
      <c r="B15" s="1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7" spans="1:13">
      <c r="A17" s="6" t="s">
        <v>31</v>
      </c>
      <c r="B17" s="6" t="s">
        <v>32</v>
      </c>
      <c r="C17" s="6" t="s">
        <v>33</v>
      </c>
      <c r="D17" s="6" t="s">
        <v>34</v>
      </c>
      <c r="E17" s="6" t="s">
        <v>111</v>
      </c>
      <c r="F17" s="6" t="s">
        <v>112</v>
      </c>
      <c r="G17" s="6" t="s">
        <v>113</v>
      </c>
      <c r="H17" s="6" t="s">
        <v>114</v>
      </c>
      <c r="I17" s="6" t="s">
        <v>115</v>
      </c>
      <c r="J17" s="2"/>
      <c r="K17" s="2"/>
      <c r="L17" s="2"/>
      <c r="M17" s="2"/>
    </row>
    <row r="18" spans="1:13">
      <c r="A18" s="2" t="s">
        <v>37</v>
      </c>
      <c r="B18" s="2" t="s">
        <v>38</v>
      </c>
      <c r="C18" s="2" t="s">
        <v>39</v>
      </c>
      <c r="D18" s="2" t="s">
        <v>40</v>
      </c>
      <c r="E18" s="2">
        <v>3</v>
      </c>
      <c r="F18" s="2">
        <v>4</v>
      </c>
      <c r="G18" s="2">
        <v>6</v>
      </c>
      <c r="H18" s="2">
        <v>3</v>
      </c>
      <c r="I18" s="2" t="str">
        <f t="shared" ref="I18:I32" si="0">IF(G18&lt;=3,"Yes","No")</f>
        <v>No</v>
      </c>
      <c r="J18" s="2"/>
      <c r="K18" s="2"/>
      <c r="L18" s="2"/>
      <c r="M18" s="2"/>
    </row>
    <row r="19" spans="1:13">
      <c r="A19" s="2" t="s">
        <v>44</v>
      </c>
      <c r="B19" s="2" t="s">
        <v>45</v>
      </c>
      <c r="C19" s="2" t="s">
        <v>39</v>
      </c>
      <c r="D19" s="2" t="s">
        <v>46</v>
      </c>
      <c r="E19" s="2">
        <v>2</v>
      </c>
      <c r="F19" s="2">
        <v>5</v>
      </c>
      <c r="G19" s="2">
        <v>5</v>
      </c>
      <c r="H19" s="2">
        <v>3</v>
      </c>
      <c r="I19" s="2" t="str">
        <f t="shared" si="0"/>
        <v>No</v>
      </c>
      <c r="J19" s="2"/>
      <c r="K19" s="2"/>
      <c r="L19" s="2"/>
      <c r="M19" s="2"/>
    </row>
    <row r="20" spans="1:13">
      <c r="A20" s="2" t="s">
        <v>50</v>
      </c>
      <c r="B20" s="2" t="s">
        <v>51</v>
      </c>
      <c r="C20" s="2" t="s">
        <v>39</v>
      </c>
      <c r="D20" s="2" t="s">
        <v>52</v>
      </c>
      <c r="E20" s="2">
        <v>3</v>
      </c>
      <c r="F20" s="2">
        <v>10</v>
      </c>
      <c r="G20" s="2">
        <v>5</v>
      </c>
      <c r="H20" s="2">
        <v>4</v>
      </c>
      <c r="I20" s="2" t="str">
        <f t="shared" si="0"/>
        <v>No</v>
      </c>
      <c r="J20" s="2"/>
      <c r="K20" s="2"/>
      <c r="L20" s="2"/>
      <c r="M20" s="2"/>
    </row>
    <row r="21" spans="1:13">
      <c r="A21" s="2" t="s">
        <v>56</v>
      </c>
      <c r="B21" s="2" t="s">
        <v>57</v>
      </c>
      <c r="C21" s="2" t="s">
        <v>58</v>
      </c>
      <c r="D21" s="2" t="s">
        <v>59</v>
      </c>
      <c r="E21" s="2">
        <v>3</v>
      </c>
      <c r="F21" s="2">
        <v>6</v>
      </c>
      <c r="G21" s="2">
        <v>7</v>
      </c>
      <c r="H21" s="2">
        <v>3</v>
      </c>
      <c r="I21" s="2" t="str">
        <f t="shared" si="0"/>
        <v>No</v>
      </c>
      <c r="J21" s="2"/>
      <c r="K21" s="2"/>
      <c r="L21" s="2"/>
      <c r="M21" s="2"/>
    </row>
    <row r="22" spans="1:13">
      <c r="A22" s="2" t="s">
        <v>63</v>
      </c>
      <c r="B22" s="2" t="s">
        <v>64</v>
      </c>
      <c r="C22" s="2" t="s">
        <v>65</v>
      </c>
      <c r="D22" s="2" t="s">
        <v>66</v>
      </c>
      <c r="E22" s="2">
        <v>2</v>
      </c>
      <c r="F22" s="2">
        <v>4</v>
      </c>
      <c r="G22" s="2">
        <v>6</v>
      </c>
      <c r="H22" s="2">
        <v>3</v>
      </c>
      <c r="I22" s="2" t="str">
        <f t="shared" si="0"/>
        <v>No</v>
      </c>
      <c r="J22" s="2"/>
      <c r="K22" s="2"/>
      <c r="L22" s="2"/>
      <c r="M22" s="2"/>
    </row>
    <row r="23" spans="1:13">
      <c r="A23" s="2" t="s">
        <v>70</v>
      </c>
      <c r="B23" s="2" t="s">
        <v>71</v>
      </c>
      <c r="C23" s="2" t="s">
        <v>65</v>
      </c>
      <c r="D23" s="2" t="s">
        <v>52</v>
      </c>
      <c r="E23" s="2">
        <v>2</v>
      </c>
      <c r="F23" s="2">
        <v>5</v>
      </c>
      <c r="G23" s="2">
        <v>8</v>
      </c>
      <c r="H23" s="2">
        <v>3</v>
      </c>
      <c r="I23" s="2" t="str">
        <f t="shared" si="0"/>
        <v>No</v>
      </c>
      <c r="J23" s="2"/>
      <c r="K23" s="2"/>
      <c r="L23" s="2"/>
      <c r="M23" s="2"/>
    </row>
    <row r="24" spans="1:13">
      <c r="A24" s="2" t="s">
        <v>75</v>
      </c>
      <c r="B24" s="2" t="s">
        <v>76</v>
      </c>
      <c r="C24" s="2" t="s">
        <v>65</v>
      </c>
      <c r="D24" s="2" t="s">
        <v>59</v>
      </c>
      <c r="E24" s="2">
        <v>3</v>
      </c>
      <c r="F24" s="2">
        <v>3</v>
      </c>
      <c r="G24" s="2">
        <v>7</v>
      </c>
      <c r="H24" s="2">
        <v>3</v>
      </c>
      <c r="I24" s="2" t="str">
        <f t="shared" si="0"/>
        <v>No</v>
      </c>
      <c r="J24" s="2"/>
      <c r="K24" s="2"/>
      <c r="L24" s="2"/>
      <c r="M24" s="2"/>
    </row>
    <row r="25" spans="1:13">
      <c r="A25" s="2" t="s">
        <v>77</v>
      </c>
      <c r="B25" s="2" t="s">
        <v>78</v>
      </c>
      <c r="C25" s="2" t="s">
        <v>65</v>
      </c>
      <c r="D25" s="2" t="s">
        <v>59</v>
      </c>
      <c r="E25" s="2">
        <v>2</v>
      </c>
      <c r="F25" s="2">
        <v>4</v>
      </c>
      <c r="G25" s="2">
        <v>8</v>
      </c>
      <c r="H25" s="2">
        <v>2</v>
      </c>
      <c r="I25" s="2" t="str">
        <f t="shared" si="0"/>
        <v>No</v>
      </c>
      <c r="J25" s="2"/>
      <c r="K25" s="2"/>
      <c r="L25" s="2"/>
      <c r="M25" s="2"/>
    </row>
    <row r="26" spans="1:13">
      <c r="A26" s="2" t="s">
        <v>79</v>
      </c>
      <c r="B26" s="2" t="s">
        <v>80</v>
      </c>
      <c r="C26" s="2" t="s">
        <v>81</v>
      </c>
      <c r="D26" s="2" t="s">
        <v>40</v>
      </c>
      <c r="E26" s="2">
        <v>2</v>
      </c>
      <c r="F26" s="2">
        <v>5</v>
      </c>
      <c r="G26" s="2">
        <v>9</v>
      </c>
      <c r="H26" s="2">
        <v>3</v>
      </c>
      <c r="I26" s="2" t="str">
        <f t="shared" si="0"/>
        <v>No</v>
      </c>
      <c r="J26" s="2"/>
      <c r="K26" s="2"/>
      <c r="L26" s="2"/>
      <c r="M26" s="2"/>
    </row>
    <row r="27" spans="1:13">
      <c r="A27" s="2" t="s">
        <v>82</v>
      </c>
      <c r="B27" s="2" t="s">
        <v>83</v>
      </c>
      <c r="C27" s="2" t="s">
        <v>81</v>
      </c>
      <c r="D27" s="2" t="s">
        <v>52</v>
      </c>
      <c r="E27" s="2">
        <v>3</v>
      </c>
      <c r="F27" s="2">
        <v>6</v>
      </c>
      <c r="G27" s="2">
        <v>6</v>
      </c>
      <c r="H27" s="2">
        <v>3</v>
      </c>
      <c r="I27" s="2" t="str">
        <f t="shared" si="0"/>
        <v>No</v>
      </c>
      <c r="J27" s="2"/>
      <c r="K27" s="2"/>
      <c r="L27" s="2"/>
      <c r="M27" s="2"/>
    </row>
    <row r="28" spans="1:13">
      <c r="A28" s="2" t="s">
        <v>84</v>
      </c>
      <c r="B28" s="2" t="s">
        <v>85</v>
      </c>
      <c r="C28" s="2" t="s">
        <v>81</v>
      </c>
      <c r="D28" s="2" t="s">
        <v>46</v>
      </c>
      <c r="E28" s="2">
        <v>2</v>
      </c>
      <c r="F28" s="2">
        <v>4</v>
      </c>
      <c r="G28" s="2">
        <v>7</v>
      </c>
      <c r="H28" s="2">
        <v>3</v>
      </c>
      <c r="I28" s="2" t="str">
        <f t="shared" si="0"/>
        <v>No</v>
      </c>
      <c r="J28" s="2"/>
      <c r="K28" s="2"/>
      <c r="L28" s="2"/>
      <c r="M28" s="2"/>
    </row>
    <row r="29" spans="1:13">
      <c r="A29" s="2" t="s">
        <v>86</v>
      </c>
      <c r="B29" s="2" t="s">
        <v>87</v>
      </c>
      <c r="C29" s="2" t="s">
        <v>88</v>
      </c>
      <c r="D29" s="2" t="s">
        <v>66</v>
      </c>
      <c r="E29" s="2">
        <v>3</v>
      </c>
      <c r="F29" s="2">
        <v>5</v>
      </c>
      <c r="G29" s="2">
        <v>9</v>
      </c>
      <c r="H29" s="2">
        <v>3</v>
      </c>
      <c r="I29" s="2" t="str">
        <f t="shared" si="0"/>
        <v>No</v>
      </c>
      <c r="J29" s="2"/>
      <c r="K29" s="2"/>
      <c r="L29" s="2"/>
      <c r="M29" s="2"/>
    </row>
    <row r="30" spans="1:13">
      <c r="A30" s="2" t="s">
        <v>89</v>
      </c>
      <c r="B30" s="2" t="s">
        <v>90</v>
      </c>
      <c r="C30" s="2" t="s">
        <v>88</v>
      </c>
      <c r="D30" s="2" t="s">
        <v>52</v>
      </c>
      <c r="E30" s="2">
        <v>3</v>
      </c>
      <c r="F30" s="2">
        <v>10</v>
      </c>
      <c r="G30" s="2">
        <v>5</v>
      </c>
      <c r="H30" s="2">
        <v>4</v>
      </c>
      <c r="I30" s="2" t="str">
        <f t="shared" si="0"/>
        <v>No</v>
      </c>
      <c r="J30" s="2"/>
      <c r="K30" s="2"/>
      <c r="L30" s="2"/>
      <c r="M30" s="2"/>
    </row>
    <row r="31" spans="1:13">
      <c r="A31" s="2" t="s">
        <v>91</v>
      </c>
      <c r="B31" s="2" t="s">
        <v>92</v>
      </c>
      <c r="C31" s="2" t="s">
        <v>93</v>
      </c>
      <c r="D31" s="2" t="s">
        <v>59</v>
      </c>
      <c r="E31" s="2">
        <v>5</v>
      </c>
      <c r="F31" s="2">
        <v>10</v>
      </c>
      <c r="G31" s="2">
        <v>6</v>
      </c>
      <c r="H31" s="2">
        <v>5</v>
      </c>
      <c r="I31" s="2" t="str">
        <f t="shared" si="0"/>
        <v>No</v>
      </c>
      <c r="J31" s="2"/>
      <c r="K31" s="2"/>
      <c r="L31" s="2"/>
      <c r="M31" s="2"/>
    </row>
    <row r="32" spans="1:13">
      <c r="A32" s="2" t="s">
        <v>94</v>
      </c>
      <c r="B32" s="2" t="s">
        <v>95</v>
      </c>
      <c r="C32" s="2" t="s">
        <v>93</v>
      </c>
      <c r="D32" s="2" t="s">
        <v>59</v>
      </c>
      <c r="E32" s="2">
        <v>3</v>
      </c>
      <c r="F32" s="2">
        <v>9</v>
      </c>
      <c r="G32" s="2">
        <v>7</v>
      </c>
      <c r="H32" s="2">
        <v>4</v>
      </c>
      <c r="I32" s="2" t="str">
        <f t="shared" si="0"/>
        <v>No</v>
      </c>
      <c r="J32" s="2"/>
      <c r="K32" s="2"/>
      <c r="L32" s="2"/>
      <c r="M32" s="2"/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Scenario_Summary</vt:lpstr>
      <vt:lpstr>Classification_Rules</vt:lpstr>
      <vt:lpstr>Task_List</vt:lpstr>
      <vt:lpstr>S1_LowPressure</vt:lpstr>
      <vt:lpstr>S2_HighPressure</vt:lpstr>
      <vt:lpstr>S3_DeadlineFocused</vt:lpstr>
      <vt:lpstr>S4_ImportanceFocused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WPS_1621692453</cp:lastModifiedBy>
  <dcterms:created xsi:type="dcterms:W3CDTF">2026-06-08T01:51:16Z</dcterms:created>
  <dcterms:modified xsi:type="dcterms:W3CDTF">2026-06-08T02:15:39Z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3C7C8A76CCCB26E64BB5256A4982623F_42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